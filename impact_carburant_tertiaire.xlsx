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ez-moi" sheetId="1" state="visible" r:id="rId3"/>
    <sheet name="Paramètres" sheetId="2" state="visible" r:id="rId4"/>
    <sheet name="Données2019" sheetId="3" state="visible" r:id="rId5"/>
    <sheet name="Calculs" sheetId="4" state="visible" r:id="rId6"/>
    <sheet name="Prix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<sst xmlns="http://schemas.openxmlformats.org/spreadsheetml/2006/main" count="291" uniqueCount="216">
  <si>
    <t xml:space="preserve">Impact de la hausse des carburants 2026 sur le tertiaire marchand (France)</t>
  </si>
  <si>
    <t xml:space="preserve">Question : combien la hausse du gazole coûte-t-elle aux entreprises du tertiaire marchand, branche par branche ?</t>
  </si>
  <si>
    <t xml:space="preserve">Comment lire ce classeur</t>
  </si>
  <si>
    <t xml:space="preserve">• Paramètres : prix du gazole, indice des prix, scénarios. Les cellules en bleu sont des données saisies ; modifiez-les pour tester d'autres prix.</t>
  </si>
  <si>
    <t xml:space="preserve">• Données2019 : achats de produits pétroliers, production, valeur ajoutée et EBE par branche (Eurostat, France, 2019, M€).</t>
  </si>
  <si>
    <t xml:space="preserve">• Calculs : les trois indicateurs par groupe de branches, entièrement en formules.</t>
  </si>
  <si>
    <t xml:space="preserve">• Prix : prix moyens mensuels du gazole et du SP95-E10 (INSEE), janv. 2022 – août 2026.</t>
  </si>
  <si>
    <t xml:space="preserve">Méthode</t>
  </si>
  <si>
    <t xml:space="preserve">1. Achats de carburant 2019 ajustés aux prix relatifs 2025 : C = achats 2019 × k, avec k = (prix gazole 2025 / 2019) ÷ (IPCH 2025 / 2019).</t>
  </si>
  <si>
    <t xml:space="preserve">2. Surcoût : ΔC = C × g, où g est la hausse du gazole par rapport à la moyenne 2025 (scénario A : moyenne mars-août 2026 ; B : 23 septembre 2026).</t>
  </si>
  <si>
    <t xml:space="preserve">3. Poids dans les coûts = C × (1 + g) ÷ (Production − EBE + ΔC).</t>
  </si>
  <si>
    <t xml:space="preserve">4. Perte de taux de marge = EBE ÷ VA − (EBE − ΔC) ÷ (VA − ΔC), en points.</t>
  </si>
  <si>
    <t xml:space="preserve">5. Part de l'EBE absorbée = ΔC ÷ EBE.</t>
  </si>
  <si>
    <t xml:space="preserve">Hypothèses et limites</t>
  </si>
  <si>
    <t xml:space="preserve">• Aucune répercussion sur les prix de vente, volumes inchangés : borne haute du choc direct à court terme.</t>
  </si>
  <si>
    <t xml:space="preserve">• Structure de coûts 2019 (dernière année non perturbée par le Covid ou la crise énergétique de 2022).</t>
  </si>
  <si>
    <t xml:space="preserve">• La hausse du gazole est appliquée à tous les produits pétroliers (sous-estime le kérosène et le fioul, peu taxés).</t>
  </si>
  <si>
    <t xml:space="preserve">• EBE = excédent brut d'exploitation + revenu mixte des indépendants. Transport par eau : EBE négatif en 2019, ratios de marge non significatifs.</t>
  </si>
  <si>
    <t xml:space="preserve">• Effets indirects exclus (prix des fournisseurs, baisse de la demande).</t>
  </si>
  <si>
    <t xml:space="preserve">Sources</t>
  </si>
  <si>
    <t xml:space="preserve">Eurostat, naio_10_cp16 (tableau des emplois à prix d'acquisition, France, 2019) : https://ec.europa.eu/eurostat/databrowser/view/naio_10_cp16/default/table</t>
  </si>
  <si>
    <t xml:space="preserve">Eurostat, prc_hicp_aind (IPCH, moyenne annuelle, France) : https://ec.europa.eu/eurostat/databrowser/view/prc_hicp_aind/default/table</t>
  </si>
  <si>
    <t xml:space="preserve">INSEE, prix du gazole, séries 000442588 (mensuel), 010533883 (annuel) ; SP95-E10, série 010596132 : https://www.insee.fr/fr/statistiques/serie/000442588</t>
  </si>
  <si>
    <t xml:space="preserve">prix-carburant.eu, prix moyens au 23 septembre 2026 : https://prix-carburant.eu/article/prix-carburants-2026-09-23</t>
  </si>
  <si>
    <t xml:space="preserve">Analyse et calculs : Mikael Tamimy, septembre 2026.</t>
  </si>
  <si>
    <t xml:space="preserve">Paramètres</t>
  </si>
  <si>
    <t xml:space="preserve">Paramètre</t>
  </si>
  <si>
    <t xml:space="preserve">Valeur</t>
  </si>
  <si>
    <t xml:space="preserve">Unité</t>
  </si>
  <si>
    <t xml:space="preserve">Source</t>
  </si>
  <si>
    <t xml:space="preserve">Prix du gazole 2019 (moyenne annuelle)</t>
  </si>
  <si>
    <t xml:space="preserve">€/L TTC</t>
  </si>
  <si>
    <t xml:space="preserve">INSEE, série 010533883</t>
  </si>
  <si>
    <t xml:space="preserve">Prix du gazole 2025 (moyenne annuelle) — référence</t>
  </si>
  <si>
    <t xml:space="preserve">IPCH 2019 (moyenne annuelle)</t>
  </si>
  <si>
    <t xml:space="preserve">indice</t>
  </si>
  <si>
    <t xml:space="preserve">Eurostat, prc_hicp_aind, CP00, France</t>
  </si>
  <si>
    <t xml:space="preserve">IPCH 2025 (moyenne annuelle)</t>
  </si>
  <si>
    <t xml:space="preserve">Facteur k (passage de la structure 2019 à 2025)</t>
  </si>
  <si>
    <t xml:space="preserve">—</t>
  </si>
  <si>
    <t xml:space="preserve">Calcul</t>
  </si>
  <si>
    <t xml:space="preserve">Prix scénario A : moyenne mars-août 2026</t>
  </si>
  <si>
    <t xml:space="preserve">Calcul sur l'onglet Prix</t>
  </si>
  <si>
    <t xml:space="preserve">Prix scénario B : 23 septembre 2026</t>
  </si>
  <si>
    <t xml:space="preserve">prix-carburant.eu, moyenne nationale au 23/09/2026</t>
  </si>
  <si>
    <t xml:space="preserve">Hausse scénario A (g)</t>
  </si>
  <si>
    <t xml:space="preserve">%</t>
  </si>
  <si>
    <t xml:space="preserve">Hausse scénario B (g)</t>
  </si>
  <si>
    <t xml:space="preserve">Cellules bleues : données saisies (modifiables). Cellules noires : formules. Fond jaune : leviers des scénarios.</t>
  </si>
  <si>
    <t xml:space="preserve">Code NACE</t>
  </si>
  <si>
    <t xml:space="preserve">Branche</t>
  </si>
  <si>
    <t xml:space="preserve">Groupe</t>
  </si>
  <si>
    <t xml:space="preserve">Transport</t>
  </si>
  <si>
    <t xml:space="preserve">Achats de produits pétroliers (M€)</t>
  </si>
  <si>
    <t xml:space="preserve">Production (M€)</t>
  </si>
  <si>
    <t xml:space="preserve">Valeur ajoutée (M€)</t>
  </si>
  <si>
    <t xml:space="preserve">EBE + revenu mixte (M€)</t>
  </si>
  <si>
    <t xml:space="preserve">H49</t>
  </si>
  <si>
    <t xml:space="preserve">Transports terrestres et par conduites</t>
  </si>
  <si>
    <t xml:space="preserve">Transports terrestres</t>
  </si>
  <si>
    <t xml:space="preserve">oui</t>
  </si>
  <si>
    <t xml:space="preserve">H50</t>
  </si>
  <si>
    <t xml:space="preserve">Transports par eau</t>
  </si>
  <si>
    <t xml:space="preserve">Transport par eau</t>
  </si>
  <si>
    <t xml:space="preserve">H51</t>
  </si>
  <si>
    <t xml:space="preserve">Transports aériens</t>
  </si>
  <si>
    <t xml:space="preserve">Transport aérien</t>
  </si>
  <si>
    <t xml:space="preserve">H52</t>
  </si>
  <si>
    <t xml:space="preserve">Entreposage et services auxiliaires des transports</t>
  </si>
  <si>
    <t xml:space="preserve">H53</t>
  </si>
  <si>
    <t xml:space="preserve">Activités de poste et de courrier</t>
  </si>
  <si>
    <t xml:space="preserve">Poste et courrier</t>
  </si>
  <si>
    <t xml:space="preserve">G45</t>
  </si>
  <si>
    <t xml:space="preserve">Commerce et réparation d'automobiles</t>
  </si>
  <si>
    <t xml:space="preserve">Commerce et réparation automobile</t>
  </si>
  <si>
    <t xml:space="preserve">non</t>
  </si>
  <si>
    <t xml:space="preserve">G46</t>
  </si>
  <si>
    <t xml:space="preserve">Commerce de gros</t>
  </si>
  <si>
    <t xml:space="preserve">G47</t>
  </si>
  <si>
    <t xml:space="preserve">Commerce de détail</t>
  </si>
  <si>
    <t xml:space="preserve">I</t>
  </si>
  <si>
    <t xml:space="preserve">Hébergement et restauration</t>
  </si>
  <si>
    <t xml:space="preserve">Hébergement-restauration</t>
  </si>
  <si>
    <t xml:space="preserve">J58</t>
  </si>
  <si>
    <t xml:space="preserve">Édition</t>
  </si>
  <si>
    <t xml:space="preserve">Information-communication</t>
  </si>
  <si>
    <t xml:space="preserve">J59_60</t>
  </si>
  <si>
    <t xml:space="preserve">Production audiovisuelle et diffusion</t>
  </si>
  <si>
    <t xml:space="preserve">J61</t>
  </si>
  <si>
    <t xml:space="preserve">Télécommunications</t>
  </si>
  <si>
    <t xml:space="preserve">J62_63</t>
  </si>
  <si>
    <t xml:space="preserve">Programmation, conseil informatique et services d'information</t>
  </si>
  <si>
    <t xml:space="preserve">K64</t>
  </si>
  <si>
    <t xml:space="preserve">Services financiers</t>
  </si>
  <si>
    <t xml:space="preserve">Finance-assurance</t>
  </si>
  <si>
    <t xml:space="preserve">K65</t>
  </si>
  <si>
    <t xml:space="preserve">Assurance</t>
  </si>
  <si>
    <t xml:space="preserve">K66</t>
  </si>
  <si>
    <t xml:space="preserve">Activités auxiliaires de services financiers et d'assurance</t>
  </si>
  <si>
    <t xml:space="preserve">L68B</t>
  </si>
  <si>
    <t xml:space="preserve">Activités immobilières (hors loyers imputés)</t>
  </si>
  <si>
    <t xml:space="preserve">Immobilier (hors loyers imputés)</t>
  </si>
  <si>
    <t xml:space="preserve">M69_70</t>
  </si>
  <si>
    <t xml:space="preserve">Activités juridiques, comptables, sièges sociaux, conseil de gestion</t>
  </si>
  <si>
    <t xml:space="preserve">Activités spécialisées, scientifiques et techniques</t>
  </si>
  <si>
    <t xml:space="preserve">M71</t>
  </si>
  <si>
    <t xml:space="preserve">Architecture, ingénierie, contrôle et analyses techniques</t>
  </si>
  <si>
    <t xml:space="preserve">M72</t>
  </si>
  <si>
    <t xml:space="preserve">Recherche-développement scientifique</t>
  </si>
  <si>
    <t xml:space="preserve">M73</t>
  </si>
  <si>
    <t xml:space="preserve">Publicité et études de marché</t>
  </si>
  <si>
    <t xml:space="preserve">M74_75</t>
  </si>
  <si>
    <t xml:space="preserve">Autres activités spécialisées, scientifiques et techniques ; vétérinaires</t>
  </si>
  <si>
    <t xml:space="preserve">N77</t>
  </si>
  <si>
    <t xml:space="preserve">Activités de location et location-bail</t>
  </si>
  <si>
    <t xml:space="preserve">Location (dont véhicules)</t>
  </si>
  <si>
    <t xml:space="preserve">N78</t>
  </si>
  <si>
    <t xml:space="preserve">Activités liées à l'emploi</t>
  </si>
  <si>
    <t xml:space="preserve">Services administratifs et de soutien</t>
  </si>
  <si>
    <t xml:space="preserve">N79</t>
  </si>
  <si>
    <t xml:space="preserve">Agences de voyage, voyagistes, réservation</t>
  </si>
  <si>
    <t xml:space="preserve">N80-82</t>
  </si>
  <si>
    <t xml:space="preserve">Sécurité, services aux bâtiments, services administratifs de bureau</t>
  </si>
  <si>
    <t xml:space="preserve">R90-92</t>
  </si>
  <si>
    <t xml:space="preserve">Arts, spectacles, bibliothèques, musées, jeux de hasard</t>
  </si>
  <si>
    <t xml:space="preserve">Arts, spectacles, sports et loisirs</t>
  </si>
  <si>
    <t xml:space="preserve">R93</t>
  </si>
  <si>
    <t xml:space="preserve">Activités sportives, récréatives et de loisirs</t>
  </si>
  <si>
    <t xml:space="preserve">S95</t>
  </si>
  <si>
    <t xml:space="preserve">Réparation d'ordinateurs et de biens personnels et domestiques</t>
  </si>
  <si>
    <t xml:space="preserve">Autres services aux ménages</t>
  </si>
  <si>
    <t xml:space="preserve">S96</t>
  </si>
  <si>
    <t xml:space="preserve">Autres services personnels</t>
  </si>
  <si>
    <t xml:space="preserve">Source : Eurostat, naio_10_cp16, use table at purchasers' prices, France, 2019, M€, stk_flow=TOTAL. Produit CPA_C19 (coke et produits pétroliers raffinés), P1, B1G, B2A3G.</t>
  </si>
  <si>
    <t xml:space="preserve">Calculs par groupe de branches</t>
  </si>
  <si>
    <t xml:space="preserve">Hypothèse : aucune répercussion sur les prix de vente. Scénario A = moyenne mars-août 2026 ; B = prix du 23 septembre 2026.</t>
  </si>
  <si>
    <t xml:space="preserve">Groupe de branches</t>
  </si>
  <si>
    <t xml:space="preserve">Carburant 2019 (M€)</t>
  </si>
  <si>
    <t xml:space="preserve">EBE (M€)</t>
  </si>
  <si>
    <t xml:space="preserve">Carburant base 2025 (M€)</t>
  </si>
  <si>
    <t xml:space="preserve">Coûts de production (M€)</t>
  </si>
  <si>
    <t xml:space="preserve">Taux de marge avant choc</t>
  </si>
  <si>
    <t xml:space="preserve">Poids du carburant 2025</t>
  </si>
  <si>
    <t xml:space="preserve">Poids du carburant A</t>
  </si>
  <si>
    <t xml:space="preserve">Poids du carburant B</t>
  </si>
  <si>
    <t xml:space="preserve">Points de marge perdus A</t>
  </si>
  <si>
    <t xml:space="preserve">Points de marge perdus B</t>
  </si>
  <si>
    <t xml:space="preserve">Part de l'EBE absorbée A</t>
  </si>
  <si>
    <t xml:space="preserve">Part de l'EBE absorbée B</t>
  </si>
  <si>
    <t xml:space="preserve">Surcoût annuel A (Md€)</t>
  </si>
  <si>
    <t xml:space="preserve">Surcoût annuel B (Md€)</t>
  </si>
  <si>
    <t xml:space="preserve">TOTAL tertiaire marchand</t>
  </si>
  <si>
    <t xml:space="preserve">tous</t>
  </si>
  <si>
    <t xml:space="preserve">TOTAL hors transport</t>
  </si>
  <si>
    <t xml:space="preserve">TOTAL transport et entreposage</t>
  </si>
  <si>
    <t xml:space="preserve">n.s. : non significatif (EBE négatif en 2019). Surcoût en euros : ordre de grandeur à volumes 2019 et prix 2025.</t>
  </si>
  <si>
    <t xml:space="preserve">Mois</t>
  </si>
  <si>
    <t xml:space="preserve">Gazole (€/L TTC)</t>
  </si>
  <si>
    <t xml:space="preserve">SP95-E10 (€/L TTC)</t>
  </si>
  <si>
    <t xml:space="preserve">2022-01</t>
  </si>
  <si>
    <t xml:space="preserve">2022-02</t>
  </si>
  <si>
    <t xml:space="preserve">2022-03</t>
  </si>
  <si>
    <t xml:space="preserve">2022-04</t>
  </si>
  <si>
    <t xml:space="preserve">2022-05</t>
  </si>
  <si>
    <t xml:space="preserve">2022-06</t>
  </si>
  <si>
    <t xml:space="preserve">2022-07</t>
  </si>
  <si>
    <t xml:space="preserve">2022-08</t>
  </si>
  <si>
    <t xml:space="preserve">2022-09</t>
  </si>
  <si>
    <t xml:space="preserve">2022-10</t>
  </si>
  <si>
    <t xml:space="preserve">2022-11</t>
  </si>
  <si>
    <t xml:space="preserve">2022-12</t>
  </si>
  <si>
    <t xml:space="preserve">2023-01</t>
  </si>
  <si>
    <t xml:space="preserve">2023-02</t>
  </si>
  <si>
    <t xml:space="preserve">2023-03</t>
  </si>
  <si>
    <t xml:space="preserve">2023-04</t>
  </si>
  <si>
    <t xml:space="preserve">2023-05</t>
  </si>
  <si>
    <t xml:space="preserve">2023-06</t>
  </si>
  <si>
    <t xml:space="preserve">2023-07</t>
  </si>
  <si>
    <t xml:space="preserve">2023-08</t>
  </si>
  <si>
    <t xml:space="preserve">2023-09</t>
  </si>
  <si>
    <t xml:space="preserve">2023-10</t>
  </si>
  <si>
    <t xml:space="preserve">2023-11</t>
  </si>
  <si>
    <t xml:space="preserve">2023-12</t>
  </si>
  <si>
    <t xml:space="preserve">2024-01</t>
  </si>
  <si>
    <t xml:space="preserve">2024-02</t>
  </si>
  <si>
    <t xml:space="preserve">2024-03</t>
  </si>
  <si>
    <t xml:space="preserve">2024-04</t>
  </si>
  <si>
    <t xml:space="preserve">2024-05</t>
  </si>
  <si>
    <t xml:space="preserve">2024-06</t>
  </si>
  <si>
    <t xml:space="preserve">2024-07</t>
  </si>
  <si>
    <t xml:space="preserve">2024-08</t>
  </si>
  <si>
    <t xml:space="preserve">2024-09</t>
  </si>
  <si>
    <t xml:space="preserve">2024-10</t>
  </si>
  <si>
    <t xml:space="preserve">2024-11</t>
  </si>
  <si>
    <t xml:space="preserve">2024-12</t>
  </si>
  <si>
    <t xml:space="preserve">2025-01</t>
  </si>
  <si>
    <t xml:space="preserve">2025-02</t>
  </si>
  <si>
    <t xml:space="preserve">2025-03</t>
  </si>
  <si>
    <t xml:space="preserve">2025-04</t>
  </si>
  <si>
    <t xml:space="preserve">2025-05</t>
  </si>
  <si>
    <t xml:space="preserve">2025-06</t>
  </si>
  <si>
    <t xml:space="preserve">2025-07</t>
  </si>
  <si>
    <t xml:space="preserve">2025-08</t>
  </si>
  <si>
    <t xml:space="preserve">2025-09</t>
  </si>
  <si>
    <t xml:space="preserve">2025-10</t>
  </si>
  <si>
    <t xml:space="preserve">2025-11</t>
  </si>
  <si>
    <t xml:space="preserve">2025-12</t>
  </si>
  <si>
    <t xml:space="preserve">2026-01</t>
  </si>
  <si>
    <t xml:space="preserve">2026-02</t>
  </si>
  <si>
    <t xml:space="preserve">2026-03</t>
  </si>
  <si>
    <t xml:space="preserve">2026-04</t>
  </si>
  <si>
    <t xml:space="preserve">2026-05</t>
  </si>
  <si>
    <t xml:space="preserve">2026-06</t>
  </si>
  <si>
    <t xml:space="preserve">2026-07</t>
  </si>
  <si>
    <t xml:space="preserve">2026-08</t>
  </si>
  <si>
    <t xml:space="preserve">Source : INSEE, prix moyens mensuels de vente au détail en métropole, séries 000442588 (gazole) et 010596132 (SP95-E10).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</si>
</sst>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0.000"/>
    <numFmt numFmtId="166" formatCode="0.00"/>
    <numFmt numFmtId="167" formatCode="0.0000"/>
    <numFmt numFmtId="168" formatCode="\+0.0%"/>
    <numFmt numFmtId="169" formatCode="#,##0;\(#,##0\);\-"/>
    <numFmt numFmtId="170" formatCode="#,##0"/>
    <numFmt numFmtId="171" formatCode="0.0%"/>
    <numFmt numFmtId="172" formatCode="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8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2A78D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EEF3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D0D0D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EF3FB"/>
      <rgbColor rgb="FFCCFFFF"/>
      <rgbColor rgb="FF660066"/>
      <rgbColor rgb="FFFF8080"/>
      <rgbColor rgb="FF0066CC"/>
      <rgbColor rgb="FFD0D0D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A78D6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2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15" hidden="false" customHeight="false" outlineLevel="0" collapsed="false">
      <c r="A6" s="2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/>
    </row>
    <row r="18" customFormat="false" ht="15" hidden="false" customHeight="false" outlineLevel="0" collapsed="false">
      <c r="A18" s="3" t="s">
        <v>13</v>
      </c>
    </row>
    <row r="19" customFormat="false" ht="15" hidden="false" customHeight="false" outlineLevel="0" collapsed="false">
      <c r="A19" s="2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3" t="s">
        <v>19</v>
      </c>
    </row>
    <row r="26" customFormat="false" ht="15" hidden="false" customHeight="false" outlineLevel="0" collapsed="false">
      <c r="A26" s="2" t="s">
        <v>20</v>
      </c>
    </row>
    <row r="27" customFormat="false" ht="15" hidden="false" customHeight="false" outlineLevel="0" collapsed="false">
      <c r="A27" s="2" t="s">
        <v>21</v>
      </c>
    </row>
    <row r="28" customFormat="false" ht="15" hidden="false" customHeight="false" outlineLevel="0" collapsed="false">
      <c r="A28" s="2" t="s">
        <v>22</v>
      </c>
    </row>
    <row r="29" customFormat="false" ht="15" hidden="false" customHeight="false" outlineLevel="0" collapsed="false">
      <c r="A29" s="2" t="s">
        <v>23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4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52"/>
  </cols>
  <sheetData>
    <row r="1" customFormat="false" ht="17.35" hidden="false" customHeight="false" outlineLevel="0" collapsed="false">
      <c r="A1" s="5" t="s">
        <v>25</v>
      </c>
    </row>
    <row r="3" customFormat="false" ht="15" hidden="false" customHeight="false" outlineLevel="0" collapsed="false">
      <c r="A3" s="6" t="s">
        <v>26</v>
      </c>
      <c r="B3" s="6" t="s">
        <v>27</v>
      </c>
      <c r="C3" s="6" t="s">
        <v>28</v>
      </c>
      <c r="D3" s="6" t="s">
        <v>29</v>
      </c>
    </row>
    <row r="4" customFormat="false" ht="15" hidden="false" customHeight="false" outlineLevel="0" collapsed="false">
      <c r="A4" s="7" t="s">
        <v>30</v>
      </c>
      <c r="B4" s="8" t="n">
        <v>1.44</v>
      </c>
      <c r="C4" s="7" t="s">
        <v>31</v>
      </c>
      <c r="D4" s="7" t="s">
        <v>32</v>
      </c>
    </row>
    <row r="5" customFormat="false" ht="15" hidden="false" customHeight="false" outlineLevel="0" collapsed="false">
      <c r="A5" s="7" t="s">
        <v>33</v>
      </c>
      <c r="B5" s="8" t="n">
        <v>1.64</v>
      </c>
      <c r="C5" s="7" t="s">
        <v>31</v>
      </c>
      <c r="D5" s="7" t="s">
        <v>32</v>
      </c>
    </row>
    <row r="6" customFormat="false" ht="15" hidden="false" customHeight="false" outlineLevel="0" collapsed="false">
      <c r="A6" s="7" t="s">
        <v>34</v>
      </c>
      <c r="B6" s="9" t="n">
        <v>104.95</v>
      </c>
      <c r="C6" s="7" t="s">
        <v>35</v>
      </c>
      <c r="D6" s="7" t="s">
        <v>36</v>
      </c>
    </row>
    <row r="7" customFormat="false" ht="15" hidden="false" customHeight="false" outlineLevel="0" collapsed="false">
      <c r="A7" s="7" t="s">
        <v>37</v>
      </c>
      <c r="B7" s="9" t="n">
        <v>124.43</v>
      </c>
      <c r="C7" s="7" t="s">
        <v>35</v>
      </c>
      <c r="D7" s="7" t="s">
        <v>36</v>
      </c>
    </row>
    <row r="8" customFormat="false" ht="15" hidden="false" customHeight="false" outlineLevel="0" collapsed="false">
      <c r="A8" s="7" t="s">
        <v>38</v>
      </c>
      <c r="B8" s="10" t="n">
        <f aca="false">(B5/B4)/(B7/B6)</f>
        <v>0.960591407931278</v>
      </c>
      <c r="C8" s="7" t="s">
        <v>39</v>
      </c>
      <c r="D8" s="7" t="s">
        <v>40</v>
      </c>
    </row>
    <row r="9" customFormat="false" ht="15" hidden="false" customHeight="false" outlineLevel="0" collapsed="false">
      <c r="A9" s="7" t="s">
        <v>41</v>
      </c>
      <c r="B9" s="11" t="n">
        <f aca="false">AVERAGE(Prix!B52:B57)</f>
        <v>2.11333333333333</v>
      </c>
      <c r="C9" s="7" t="s">
        <v>31</v>
      </c>
      <c r="D9" s="7" t="s">
        <v>42</v>
      </c>
    </row>
    <row r="10" customFormat="false" ht="15" hidden="false" customHeight="false" outlineLevel="0" collapsed="false">
      <c r="A10" s="7" t="s">
        <v>43</v>
      </c>
      <c r="B10" s="12" t="n">
        <v>2.402</v>
      </c>
      <c r="C10" s="7" t="s">
        <v>31</v>
      </c>
      <c r="D10" s="7" t="s">
        <v>44</v>
      </c>
    </row>
    <row r="11" customFormat="false" ht="15" hidden="false" customHeight="false" outlineLevel="0" collapsed="false">
      <c r="A11" s="7" t="s">
        <v>45</v>
      </c>
      <c r="B11" s="13" t="n">
        <f aca="false">B9/B5-1</f>
        <v>0.288617886178862</v>
      </c>
      <c r="C11" s="7" t="s">
        <v>46</v>
      </c>
      <c r="D11" s="7" t="s">
        <v>40</v>
      </c>
    </row>
    <row r="12" customFormat="false" ht="15" hidden="false" customHeight="false" outlineLevel="0" collapsed="false">
      <c r="A12" s="7" t="s">
        <v>47</v>
      </c>
      <c r="B12" s="13" t="n">
        <f aca="false">B10/B5-1</f>
        <v>0.464634146341464</v>
      </c>
      <c r="C12" s="7" t="s">
        <v>46</v>
      </c>
      <c r="D12" s="7" t="s">
        <v>40</v>
      </c>
    </row>
    <row r="14" customFormat="false" ht="15" hidden="false" customHeight="false" outlineLevel="0" collapsed="false">
      <c r="A14" s="14" t="s">
        <v>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58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7" min="6" style="0" width="14"/>
    <col collapsed="false" customWidth="true" hidden="false" outlineLevel="0" max="8" min="8" style="0" width="16"/>
  </cols>
  <sheetData>
    <row r="1" customFormat="false" ht="30" hidden="false" customHeight="true" outlineLevel="0" collapsed="false">
      <c r="A1" s="15" t="s">
        <v>49</v>
      </c>
      <c r="B1" s="15" t="s">
        <v>50</v>
      </c>
      <c r="C1" s="15" t="s">
        <v>51</v>
      </c>
      <c r="D1" s="15" t="s">
        <v>52</v>
      </c>
      <c r="E1" s="15" t="s">
        <v>53</v>
      </c>
      <c r="F1" s="15" t="s">
        <v>54</v>
      </c>
      <c r="G1" s="15" t="s">
        <v>55</v>
      </c>
      <c r="H1" s="15" t="s">
        <v>56</v>
      </c>
    </row>
    <row r="2" customFormat="false" ht="15" hidden="false" customHeight="false" outlineLevel="0" collapsed="false">
      <c r="A2" s="16" t="s">
        <v>57</v>
      </c>
      <c r="B2" s="16" t="s">
        <v>58</v>
      </c>
      <c r="C2" s="16" t="s">
        <v>59</v>
      </c>
      <c r="D2" s="16" t="s">
        <v>60</v>
      </c>
      <c r="E2" s="17" t="n">
        <v>7838.25</v>
      </c>
      <c r="F2" s="17" t="n">
        <v>99127</v>
      </c>
      <c r="G2" s="17" t="n">
        <v>47039.27</v>
      </c>
      <c r="H2" s="17" t="n">
        <v>15602.27</v>
      </c>
    </row>
    <row r="3" customFormat="false" ht="15" hidden="false" customHeight="false" outlineLevel="0" collapsed="false">
      <c r="A3" s="16" t="s">
        <v>61</v>
      </c>
      <c r="B3" s="16" t="s">
        <v>62</v>
      </c>
      <c r="C3" s="16" t="s">
        <v>63</v>
      </c>
      <c r="D3" s="16" t="s">
        <v>60</v>
      </c>
      <c r="E3" s="17" t="n">
        <v>2156.35</v>
      </c>
      <c r="F3" s="17" t="n">
        <v>16970</v>
      </c>
      <c r="G3" s="17" t="n">
        <v>735.57</v>
      </c>
      <c r="H3" s="17" t="n">
        <v>-193.43</v>
      </c>
    </row>
    <row r="4" customFormat="false" ht="15" hidden="false" customHeight="false" outlineLevel="0" collapsed="false">
      <c r="A4" s="16" t="s">
        <v>64</v>
      </c>
      <c r="B4" s="16" t="s">
        <v>65</v>
      </c>
      <c r="C4" s="16" t="s">
        <v>66</v>
      </c>
      <c r="D4" s="16" t="s">
        <v>60</v>
      </c>
      <c r="E4" s="17" t="n">
        <v>4933.4</v>
      </c>
      <c r="F4" s="17" t="n">
        <v>21133</v>
      </c>
      <c r="G4" s="17" t="n">
        <v>7726.46</v>
      </c>
      <c r="H4" s="17" t="n">
        <v>2507.46</v>
      </c>
    </row>
    <row r="5" customFormat="false" ht="15" hidden="false" customHeight="false" outlineLevel="0" collapsed="false">
      <c r="A5" s="16" t="s">
        <v>67</v>
      </c>
      <c r="B5" s="16" t="s">
        <v>68</v>
      </c>
      <c r="C5" s="16" t="s">
        <v>68</v>
      </c>
      <c r="D5" s="16" t="s">
        <v>60</v>
      </c>
      <c r="E5" s="17" t="n">
        <v>983.37</v>
      </c>
      <c r="F5" s="17" t="n">
        <v>74866</v>
      </c>
      <c r="G5" s="17" t="n">
        <v>36057.32</v>
      </c>
      <c r="H5" s="17" t="n">
        <v>16232.32</v>
      </c>
    </row>
    <row r="6" customFormat="false" ht="15" hidden="false" customHeight="false" outlineLevel="0" collapsed="false">
      <c r="A6" s="16" t="s">
        <v>69</v>
      </c>
      <c r="B6" s="16" t="s">
        <v>70</v>
      </c>
      <c r="C6" s="16" t="s">
        <v>71</v>
      </c>
      <c r="D6" s="16" t="s">
        <v>60</v>
      </c>
      <c r="E6" s="17" t="n">
        <v>100.64</v>
      </c>
      <c r="F6" s="17" t="n">
        <v>12395</v>
      </c>
      <c r="G6" s="17" t="n">
        <v>7777.25</v>
      </c>
      <c r="H6" s="17" t="n">
        <v>346.25</v>
      </c>
    </row>
    <row r="7" customFormat="false" ht="15" hidden="false" customHeight="false" outlineLevel="0" collapsed="false">
      <c r="A7" s="16" t="s">
        <v>72</v>
      </c>
      <c r="B7" s="16" t="s">
        <v>73</v>
      </c>
      <c r="C7" s="16" t="s">
        <v>74</v>
      </c>
      <c r="D7" s="16" t="s">
        <v>75</v>
      </c>
      <c r="E7" s="17" t="n">
        <v>346.54</v>
      </c>
      <c r="F7" s="17" t="n">
        <v>56242</v>
      </c>
      <c r="G7" s="17" t="n">
        <v>33194.78</v>
      </c>
      <c r="H7" s="17" t="n">
        <v>11328.78</v>
      </c>
    </row>
    <row r="8" customFormat="false" ht="15" hidden="false" customHeight="false" outlineLevel="0" collapsed="false">
      <c r="A8" s="16" t="s">
        <v>76</v>
      </c>
      <c r="B8" s="16" t="s">
        <v>77</v>
      </c>
      <c r="C8" s="16" t="s">
        <v>77</v>
      </c>
      <c r="D8" s="16" t="s">
        <v>75</v>
      </c>
      <c r="E8" s="17" t="n">
        <v>3856.45</v>
      </c>
      <c r="F8" s="17" t="n">
        <v>238341</v>
      </c>
      <c r="G8" s="17" t="n">
        <v>102182.45</v>
      </c>
      <c r="H8" s="17" t="n">
        <v>37493.45</v>
      </c>
    </row>
    <row r="9" customFormat="false" ht="15" hidden="false" customHeight="false" outlineLevel="0" collapsed="false">
      <c r="A9" s="16" t="s">
        <v>78</v>
      </c>
      <c r="B9" s="16" t="s">
        <v>79</v>
      </c>
      <c r="C9" s="16" t="s">
        <v>79</v>
      </c>
      <c r="D9" s="16" t="s">
        <v>75</v>
      </c>
      <c r="E9" s="17" t="n">
        <v>1309.57</v>
      </c>
      <c r="F9" s="17" t="n">
        <v>161294.17</v>
      </c>
      <c r="G9" s="17" t="n">
        <v>89566.63</v>
      </c>
      <c r="H9" s="17" t="n">
        <v>26883.63</v>
      </c>
    </row>
    <row r="10" customFormat="false" ht="15" hidden="false" customHeight="false" outlineLevel="0" collapsed="false">
      <c r="A10" s="16" t="s">
        <v>80</v>
      </c>
      <c r="B10" s="16" t="s">
        <v>81</v>
      </c>
      <c r="C10" s="16" t="s">
        <v>82</v>
      </c>
      <c r="D10" s="16" t="s">
        <v>75</v>
      </c>
      <c r="E10" s="17" t="n">
        <v>240.19</v>
      </c>
      <c r="F10" s="17" t="n">
        <v>121745</v>
      </c>
      <c r="G10" s="17" t="n">
        <v>63075.15</v>
      </c>
      <c r="H10" s="17" t="n">
        <v>23226.15</v>
      </c>
    </row>
    <row r="11" customFormat="false" ht="15" hidden="false" customHeight="false" outlineLevel="0" collapsed="false">
      <c r="A11" s="16" t="s">
        <v>83</v>
      </c>
      <c r="B11" s="16" t="s">
        <v>84</v>
      </c>
      <c r="C11" s="16" t="s">
        <v>85</v>
      </c>
      <c r="D11" s="16" t="s">
        <v>75</v>
      </c>
      <c r="E11" s="17" t="n">
        <v>68.77</v>
      </c>
      <c r="F11" s="17" t="n">
        <v>29366</v>
      </c>
      <c r="G11" s="17" t="n">
        <v>15233.03</v>
      </c>
      <c r="H11" s="17" t="n">
        <v>5848.03</v>
      </c>
    </row>
    <row r="12" customFormat="false" ht="15" hidden="false" customHeight="false" outlineLevel="0" collapsed="false">
      <c r="A12" s="16" t="s">
        <v>86</v>
      </c>
      <c r="B12" s="16" t="s">
        <v>87</v>
      </c>
      <c r="C12" s="16" t="s">
        <v>85</v>
      </c>
      <c r="D12" s="16" t="s">
        <v>75</v>
      </c>
      <c r="E12" s="17" t="n">
        <v>327.16</v>
      </c>
      <c r="F12" s="17" t="n">
        <v>28525</v>
      </c>
      <c r="G12" s="17" t="n">
        <v>12281.83</v>
      </c>
      <c r="H12" s="17" t="n">
        <v>5754.83</v>
      </c>
    </row>
    <row r="13" customFormat="false" ht="15" hidden="false" customHeight="false" outlineLevel="0" collapsed="false">
      <c r="A13" s="16" t="s">
        <v>88</v>
      </c>
      <c r="B13" s="16" t="s">
        <v>89</v>
      </c>
      <c r="C13" s="16" t="s">
        <v>85</v>
      </c>
      <c r="D13" s="16" t="s">
        <v>75</v>
      </c>
      <c r="E13" s="17" t="n">
        <v>380.36</v>
      </c>
      <c r="F13" s="17" t="n">
        <v>56075</v>
      </c>
      <c r="G13" s="17" t="n">
        <v>24970.21</v>
      </c>
      <c r="H13" s="17" t="n">
        <v>15248.21</v>
      </c>
    </row>
    <row r="14" customFormat="false" ht="15" hidden="false" customHeight="false" outlineLevel="0" collapsed="false">
      <c r="A14" s="16" t="s">
        <v>90</v>
      </c>
      <c r="B14" s="16" t="s">
        <v>91</v>
      </c>
      <c r="C14" s="16" t="s">
        <v>85</v>
      </c>
      <c r="D14" s="16" t="s">
        <v>75</v>
      </c>
      <c r="E14" s="17" t="n">
        <v>466.94</v>
      </c>
      <c r="F14" s="17" t="n">
        <v>109436</v>
      </c>
      <c r="G14" s="17" t="n">
        <v>63755.1</v>
      </c>
      <c r="H14" s="17" t="n">
        <v>18311.1</v>
      </c>
    </row>
    <row r="15" customFormat="false" ht="15" hidden="false" customHeight="false" outlineLevel="0" collapsed="false">
      <c r="A15" s="16" t="s">
        <v>92</v>
      </c>
      <c r="B15" s="16" t="s">
        <v>93</v>
      </c>
      <c r="C15" s="16" t="s">
        <v>94</v>
      </c>
      <c r="D15" s="16" t="s">
        <v>75</v>
      </c>
      <c r="E15" s="17" t="n">
        <v>348</v>
      </c>
      <c r="F15" s="17" t="n">
        <v>118509</v>
      </c>
      <c r="G15" s="17" t="n">
        <v>50756</v>
      </c>
      <c r="H15" s="17" t="n">
        <v>13382</v>
      </c>
    </row>
    <row r="16" customFormat="false" ht="15" hidden="false" customHeight="false" outlineLevel="0" collapsed="false">
      <c r="A16" s="16" t="s">
        <v>95</v>
      </c>
      <c r="B16" s="16" t="s">
        <v>96</v>
      </c>
      <c r="C16" s="16" t="s">
        <v>94</v>
      </c>
      <c r="D16" s="16" t="s">
        <v>75</v>
      </c>
      <c r="E16" s="17" t="n">
        <v>175</v>
      </c>
      <c r="F16" s="17" t="n">
        <v>66173</v>
      </c>
      <c r="G16" s="17" t="n">
        <v>9878</v>
      </c>
      <c r="H16" s="17" t="n">
        <v>-267</v>
      </c>
    </row>
    <row r="17" customFormat="false" ht="15" hidden="false" customHeight="false" outlineLevel="0" collapsed="false">
      <c r="A17" s="16" t="s">
        <v>97</v>
      </c>
      <c r="B17" s="16" t="s">
        <v>98</v>
      </c>
      <c r="C17" s="16" t="s">
        <v>94</v>
      </c>
      <c r="D17" s="16" t="s">
        <v>75</v>
      </c>
      <c r="E17" s="17" t="n">
        <v>75.89</v>
      </c>
      <c r="F17" s="17" t="n">
        <v>50453</v>
      </c>
      <c r="G17" s="17" t="n">
        <v>22561.7</v>
      </c>
      <c r="H17" s="17" t="n">
        <v>6649.7</v>
      </c>
    </row>
    <row r="18" customFormat="false" ht="15" hidden="false" customHeight="false" outlineLevel="0" collapsed="false">
      <c r="A18" s="16" t="s">
        <v>99</v>
      </c>
      <c r="B18" s="16" t="s">
        <v>100</v>
      </c>
      <c r="C18" s="16" t="s">
        <v>101</v>
      </c>
      <c r="D18" s="16" t="s">
        <v>75</v>
      </c>
      <c r="E18" s="17" t="n">
        <v>157.24</v>
      </c>
      <c r="F18" s="17" t="n">
        <v>152352</v>
      </c>
      <c r="G18" s="17" t="n">
        <v>106626.25</v>
      </c>
      <c r="H18" s="17" t="n">
        <v>77007.5</v>
      </c>
    </row>
    <row r="19" customFormat="false" ht="15" hidden="false" customHeight="false" outlineLevel="0" collapsed="false">
      <c r="A19" s="16" t="s">
        <v>102</v>
      </c>
      <c r="B19" s="16" t="s">
        <v>103</v>
      </c>
      <c r="C19" s="16" t="s">
        <v>104</v>
      </c>
      <c r="D19" s="16" t="s">
        <v>75</v>
      </c>
      <c r="E19" s="17" t="n">
        <v>912.95</v>
      </c>
      <c r="F19" s="17" t="n">
        <v>200169</v>
      </c>
      <c r="G19" s="17" t="n">
        <v>88390.7</v>
      </c>
      <c r="H19" s="17" t="n">
        <v>19100.7</v>
      </c>
    </row>
    <row r="20" customFormat="false" ht="15" hidden="false" customHeight="false" outlineLevel="0" collapsed="false">
      <c r="A20" s="16" t="s">
        <v>105</v>
      </c>
      <c r="B20" s="16" t="s">
        <v>106</v>
      </c>
      <c r="C20" s="16" t="s">
        <v>104</v>
      </c>
      <c r="D20" s="16" t="s">
        <v>75</v>
      </c>
      <c r="E20" s="17" t="n">
        <v>266.29</v>
      </c>
      <c r="F20" s="17" t="n">
        <v>72263</v>
      </c>
      <c r="G20" s="17" t="n">
        <v>35794.26</v>
      </c>
      <c r="H20" s="17" t="n">
        <v>8883.26</v>
      </c>
    </row>
    <row r="21" customFormat="false" ht="15" hidden="false" customHeight="false" outlineLevel="0" collapsed="false">
      <c r="A21" s="16" t="s">
        <v>107</v>
      </c>
      <c r="B21" s="16" t="s">
        <v>108</v>
      </c>
      <c r="C21" s="16" t="s">
        <v>104</v>
      </c>
      <c r="D21" s="16" t="s">
        <v>75</v>
      </c>
      <c r="E21" s="17" t="n">
        <v>250.04</v>
      </c>
      <c r="F21" s="17" t="n">
        <v>69199</v>
      </c>
      <c r="G21" s="17" t="n">
        <v>37064.91</v>
      </c>
      <c r="H21" s="17" t="n">
        <v>15116.91</v>
      </c>
    </row>
    <row r="22" customFormat="false" ht="15" hidden="false" customHeight="false" outlineLevel="0" collapsed="false">
      <c r="A22" s="16" t="s">
        <v>109</v>
      </c>
      <c r="B22" s="16" t="s">
        <v>110</v>
      </c>
      <c r="C22" s="16" t="s">
        <v>104</v>
      </c>
      <c r="D22" s="16" t="s">
        <v>75</v>
      </c>
      <c r="E22" s="17" t="n">
        <v>267.25</v>
      </c>
      <c r="F22" s="17" t="n">
        <v>20337</v>
      </c>
      <c r="G22" s="17" t="n">
        <v>9199.91</v>
      </c>
      <c r="H22" s="17" t="n">
        <v>1750.91</v>
      </c>
    </row>
    <row r="23" customFormat="false" ht="15" hidden="false" customHeight="false" outlineLevel="0" collapsed="false">
      <c r="A23" s="16" t="s">
        <v>111</v>
      </c>
      <c r="B23" s="16" t="s">
        <v>112</v>
      </c>
      <c r="C23" s="16" t="s">
        <v>104</v>
      </c>
      <c r="D23" s="16" t="s">
        <v>75</v>
      </c>
      <c r="E23" s="17" t="n">
        <v>194.94</v>
      </c>
      <c r="F23" s="17" t="n">
        <v>18066</v>
      </c>
      <c r="G23" s="17" t="n">
        <v>7888.22</v>
      </c>
      <c r="H23" s="17" t="n">
        <v>3300.22</v>
      </c>
    </row>
    <row r="24" customFormat="false" ht="15" hidden="false" customHeight="false" outlineLevel="0" collapsed="false">
      <c r="A24" s="16" t="s">
        <v>113</v>
      </c>
      <c r="B24" s="16" t="s">
        <v>114</v>
      </c>
      <c r="C24" s="16" t="s">
        <v>115</v>
      </c>
      <c r="D24" s="16" t="s">
        <v>75</v>
      </c>
      <c r="E24" s="17" t="n">
        <v>753.44</v>
      </c>
      <c r="F24" s="17" t="n">
        <v>69443</v>
      </c>
      <c r="G24" s="17" t="n">
        <v>37662.34</v>
      </c>
      <c r="H24" s="17" t="n">
        <v>28801.34</v>
      </c>
    </row>
    <row r="25" customFormat="false" ht="15" hidden="false" customHeight="false" outlineLevel="0" collapsed="false">
      <c r="A25" s="16" t="s">
        <v>116</v>
      </c>
      <c r="B25" s="16" t="s">
        <v>117</v>
      </c>
      <c r="C25" s="16" t="s">
        <v>118</v>
      </c>
      <c r="D25" s="16" t="s">
        <v>75</v>
      </c>
      <c r="E25" s="17" t="n">
        <v>73.17</v>
      </c>
      <c r="F25" s="17" t="n">
        <v>44091</v>
      </c>
      <c r="G25" s="17" t="n">
        <v>39156.25</v>
      </c>
      <c r="H25" s="17" t="n">
        <v>2260.25</v>
      </c>
    </row>
    <row r="26" customFormat="false" ht="15" hidden="false" customHeight="false" outlineLevel="0" collapsed="false">
      <c r="A26" s="16" t="s">
        <v>119</v>
      </c>
      <c r="B26" s="16" t="s">
        <v>120</v>
      </c>
      <c r="C26" s="16" t="s">
        <v>118</v>
      </c>
      <c r="D26" s="16" t="s">
        <v>75</v>
      </c>
      <c r="E26" s="17" t="n">
        <v>118.88</v>
      </c>
      <c r="F26" s="17" t="n">
        <v>8046</v>
      </c>
      <c r="G26" s="17" t="n">
        <v>2527.19</v>
      </c>
      <c r="H26" s="17" t="n">
        <v>776.19</v>
      </c>
    </row>
    <row r="27" customFormat="false" ht="15" hidden="false" customHeight="false" outlineLevel="0" collapsed="false">
      <c r="A27" s="16" t="s">
        <v>121</v>
      </c>
      <c r="B27" s="16" t="s">
        <v>122</v>
      </c>
      <c r="C27" s="16" t="s">
        <v>118</v>
      </c>
      <c r="D27" s="16" t="s">
        <v>75</v>
      </c>
      <c r="E27" s="17" t="n">
        <v>574.25</v>
      </c>
      <c r="F27" s="17" t="n">
        <v>99669</v>
      </c>
      <c r="G27" s="17" t="n">
        <v>47984.47</v>
      </c>
      <c r="H27" s="17" t="n">
        <v>10290.47</v>
      </c>
    </row>
    <row r="28" customFormat="false" ht="15" hidden="false" customHeight="false" outlineLevel="0" collapsed="false">
      <c r="A28" s="16" t="s">
        <v>123</v>
      </c>
      <c r="B28" s="16" t="s">
        <v>124</v>
      </c>
      <c r="C28" s="16" t="s">
        <v>125</v>
      </c>
      <c r="D28" s="16" t="s">
        <v>75</v>
      </c>
      <c r="E28" s="17" t="n">
        <v>299.78</v>
      </c>
      <c r="F28" s="17" t="n">
        <v>30101</v>
      </c>
      <c r="G28" s="17" t="n">
        <v>17296.14</v>
      </c>
      <c r="H28" s="17" t="n">
        <v>5955.14</v>
      </c>
    </row>
    <row r="29" customFormat="false" ht="15" hidden="false" customHeight="false" outlineLevel="0" collapsed="false">
      <c r="A29" s="16" t="s">
        <v>126</v>
      </c>
      <c r="B29" s="16" t="s">
        <v>127</v>
      </c>
      <c r="C29" s="16" t="s">
        <v>125</v>
      </c>
      <c r="D29" s="16" t="s">
        <v>75</v>
      </c>
      <c r="E29" s="17" t="n">
        <v>333.11</v>
      </c>
      <c r="F29" s="17" t="n">
        <v>27534</v>
      </c>
      <c r="G29" s="17" t="n">
        <v>15183.34</v>
      </c>
      <c r="H29" s="17" t="n">
        <v>4644.34</v>
      </c>
    </row>
    <row r="30" customFormat="false" ht="15" hidden="false" customHeight="false" outlineLevel="0" collapsed="false">
      <c r="A30" s="16" t="s">
        <v>128</v>
      </c>
      <c r="B30" s="16" t="s">
        <v>129</v>
      </c>
      <c r="C30" s="16" t="s">
        <v>130</v>
      </c>
      <c r="D30" s="16" t="s">
        <v>75</v>
      </c>
      <c r="E30" s="17" t="n">
        <v>27.56</v>
      </c>
      <c r="F30" s="17" t="n">
        <v>9897</v>
      </c>
      <c r="G30" s="17" t="n">
        <v>5082.71</v>
      </c>
      <c r="H30" s="17" t="n">
        <v>1506.71</v>
      </c>
    </row>
    <row r="31" customFormat="false" ht="15" hidden="false" customHeight="false" outlineLevel="0" collapsed="false">
      <c r="A31" s="16" t="s">
        <v>131</v>
      </c>
      <c r="B31" s="16" t="s">
        <v>132</v>
      </c>
      <c r="C31" s="16" t="s">
        <v>130</v>
      </c>
      <c r="D31" s="16" t="s">
        <v>75</v>
      </c>
      <c r="E31" s="17" t="n">
        <v>93.33</v>
      </c>
      <c r="F31" s="17" t="n">
        <v>18709</v>
      </c>
      <c r="G31" s="17" t="n">
        <v>12387.95</v>
      </c>
      <c r="H31" s="17" t="n">
        <v>6143.95</v>
      </c>
    </row>
    <row r="33" customFormat="false" ht="15" hidden="false" customHeight="false" outlineLevel="0" collapsed="false">
      <c r="A33" s="14" t="s">
        <v>133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10"/>
    <col collapsed="false" customWidth="true" hidden="false" outlineLevel="0" max="18" min="3" style="0" width="13"/>
  </cols>
  <sheetData>
    <row r="1" customFormat="false" ht="17.35" hidden="false" customHeight="false" outlineLevel="0" collapsed="false">
      <c r="A1" s="5" t="s">
        <v>134</v>
      </c>
    </row>
    <row r="2" customFormat="false" ht="15" hidden="false" customHeight="false" outlineLevel="0" collapsed="false">
      <c r="A2" s="14" t="s">
        <v>135</v>
      </c>
    </row>
    <row r="4" customFormat="false" ht="42" hidden="false" customHeight="true" outlineLevel="0" collapsed="false">
      <c r="A4" s="15" t="s">
        <v>136</v>
      </c>
      <c r="B4" s="15" t="s">
        <v>52</v>
      </c>
      <c r="C4" s="15" t="s">
        <v>137</v>
      </c>
      <c r="D4" s="15" t="s">
        <v>54</v>
      </c>
      <c r="E4" s="15" t="s">
        <v>55</v>
      </c>
      <c r="F4" s="15" t="s">
        <v>138</v>
      </c>
      <c r="G4" s="15" t="s">
        <v>139</v>
      </c>
      <c r="H4" s="15" t="s">
        <v>140</v>
      </c>
      <c r="I4" s="15" t="s">
        <v>141</v>
      </c>
      <c r="J4" s="15" t="s">
        <v>142</v>
      </c>
      <c r="K4" s="15" t="s">
        <v>143</v>
      </c>
      <c r="L4" s="15" t="s">
        <v>144</v>
      </c>
      <c r="M4" s="15" t="s">
        <v>145</v>
      </c>
      <c r="N4" s="15" t="s">
        <v>146</v>
      </c>
      <c r="O4" s="15" t="s">
        <v>147</v>
      </c>
      <c r="P4" s="15" t="s">
        <v>148</v>
      </c>
      <c r="Q4" s="15" t="s">
        <v>149</v>
      </c>
      <c r="R4" s="15" t="s">
        <v>150</v>
      </c>
    </row>
    <row r="5" customFormat="false" ht="15" hidden="false" customHeight="false" outlineLevel="0" collapsed="false">
      <c r="A5" s="7" t="s">
        <v>59</v>
      </c>
      <c r="B5" s="18" t="str">
        <f aca="false">INDEX(Données2019!$D$2:$D$31,MATCH(A5,Données2019!$C$2:$C$31,0))</f>
        <v>oui</v>
      </c>
      <c r="C5" s="19" t="n">
        <f aca="false">SUMIFS(Données2019!$E$2:$E$31,Données2019!$C$2:$C$31,$A5)</f>
        <v>7838.25</v>
      </c>
      <c r="D5" s="19" t="n">
        <f aca="false">SUMIFS(Données2019!$F$2:$F$31,Données2019!$C$2:$C$31,$A5)</f>
        <v>99127</v>
      </c>
      <c r="E5" s="19" t="n">
        <f aca="false">SUMIFS(Données2019!$G$2:$G$31,Données2019!$C$2:$C$31,$A5)</f>
        <v>47039.27</v>
      </c>
      <c r="F5" s="20" t="n">
        <f aca="false">SUMIFS(Données2019!$H$2:$H$31,Données2019!$C$2:$C$31,$A5)</f>
        <v>15602.27</v>
      </c>
      <c r="G5" s="21" t="n">
        <f aca="false">C5*Paramètres!$B$8</f>
        <v>7529.35560321734</v>
      </c>
      <c r="H5" s="21" t="n">
        <f aca="false">D5-F5</f>
        <v>83524.73</v>
      </c>
      <c r="I5" s="22" t="n">
        <f aca="false">F5/E5</f>
        <v>0.331686057202844</v>
      </c>
      <c r="J5" s="23" t="n">
        <f aca="false">G5/H5</f>
        <v>0.0901452252909688</v>
      </c>
      <c r="K5" s="23" t="n">
        <f aca="false">G5*(1+Paramètres!$B$11)/(H5+G5*Paramètres!$B$11)</f>
        <v>0.113217120472283</v>
      </c>
      <c r="L5" s="23" t="n">
        <f aca="false">G5*(1+Paramètres!$B$12)/(H5+G5*Paramètres!$B$12)</f>
        <v>0.126722077907925</v>
      </c>
      <c r="M5" s="24" t="n">
        <f aca="false">IF(F5&gt;0,(I5-(F5-G5*Paramètres!$B$11)/(E5-G5*Paramètres!$B$11))*100,"n.s.")</f>
        <v>3.23699955359805</v>
      </c>
      <c r="N5" s="24" t="n">
        <f aca="false">IF(F5&gt;0,(I5-(F5-G5*Paramètres!$B$12)/(E5-G5*Paramètres!$B$12))*100,"n.s.")</f>
        <v>5.36972826304445</v>
      </c>
      <c r="O5" s="22" t="n">
        <f aca="false">IF(F5&gt;0,G5*Paramètres!$B$11/F5,"n.s.")</f>
        <v>0.139281444205847</v>
      </c>
      <c r="P5" s="22" t="n">
        <f aca="false">IF(F5&gt;0,G5*Paramètres!$B$12/F5,"n.s.")</f>
        <v>0.224223508066596</v>
      </c>
      <c r="Q5" s="24" t="n">
        <f aca="false">C5*(Paramètres!$B$5/Paramètres!$B$4)*Paramètres!$B$11/1000</f>
        <v>2.57646180555556</v>
      </c>
      <c r="R5" s="24" t="n">
        <f aca="false">C5*(Paramètres!$B$5/Paramètres!$B$4)*Paramètres!$B$12/1000</f>
        <v>4.147740625</v>
      </c>
    </row>
    <row r="6" customFormat="false" ht="15" hidden="false" customHeight="false" outlineLevel="0" collapsed="false">
      <c r="A6" s="7" t="s">
        <v>63</v>
      </c>
      <c r="B6" s="18" t="str">
        <f aca="false">INDEX(Données2019!$D$2:$D$31,MATCH(A6,Données2019!$C$2:$C$31,0))</f>
        <v>oui</v>
      </c>
      <c r="C6" s="19" t="n">
        <f aca="false">SUMIFS(Données2019!$E$2:$E$31,Données2019!$C$2:$C$31,$A6)</f>
        <v>2156.35</v>
      </c>
      <c r="D6" s="19" t="n">
        <f aca="false">SUMIFS(Données2019!$F$2:$F$31,Données2019!$C$2:$C$31,$A6)</f>
        <v>16970</v>
      </c>
      <c r="E6" s="19" t="n">
        <f aca="false">SUMIFS(Données2019!$G$2:$G$31,Données2019!$C$2:$C$31,$A6)</f>
        <v>735.57</v>
      </c>
      <c r="F6" s="20" t="n">
        <f aca="false">SUMIFS(Données2019!$H$2:$H$31,Données2019!$C$2:$C$31,$A6)</f>
        <v>-193.43</v>
      </c>
      <c r="G6" s="21" t="n">
        <f aca="false">C6*Paramètres!$B$8</f>
        <v>2071.37128249261</v>
      </c>
      <c r="H6" s="21" t="n">
        <f aca="false">D6-F6</f>
        <v>17163.43</v>
      </c>
      <c r="I6" s="22" t="n">
        <f aca="false">F6/E6</f>
        <v>-0.262966135106108</v>
      </c>
      <c r="J6" s="23" t="n">
        <f aca="false">G6/H6</f>
        <v>0.120685159230562</v>
      </c>
      <c r="K6" s="23" t="n">
        <f aca="false">G6*(1+Paramètres!$B$11)/(H6+G6*Paramètres!$B$11)</f>
        <v>0.150282432779238</v>
      </c>
      <c r="L6" s="23" t="n">
        <f aca="false">G6*(1+Paramètres!$B$12)/(H6+G6*Paramètres!$B$12)</f>
        <v>0.167374190187145</v>
      </c>
      <c r="M6" s="24" t="str">
        <f aca="false">IF(F6&gt;0,(I6-(F6-G6*Paramètres!$B$11)/(E6-G6*Paramètres!$B$11))*100,"n.s.")</f>
        <v>n.s.</v>
      </c>
      <c r="N6" s="24" t="str">
        <f aca="false">IF(F6&gt;0,(I6-(F6-G6*Paramètres!$B$12)/(E6-G6*Paramètres!$B$12))*100,"n.s.")</f>
        <v>n.s.</v>
      </c>
      <c r="O6" s="22" t="str">
        <f aca="false">IF(F6&gt;0,G6*Paramètres!$B$11/F6,"n.s.")</f>
        <v>n.s.</v>
      </c>
      <c r="P6" s="22" t="str">
        <f aca="false">IF(F6&gt;0,G6*Paramètres!$B$12/F6,"n.s.")</f>
        <v>n.s.</v>
      </c>
      <c r="Q6" s="24" t="n">
        <f aca="false">C6*(Paramètres!$B$5/Paramètres!$B$4)*Paramètres!$B$11/1000</f>
        <v>0.708800231481481</v>
      </c>
      <c r="R6" s="24" t="n">
        <f aca="false">C6*(Paramètres!$B$5/Paramètres!$B$4)*Paramètres!$B$12/1000</f>
        <v>1.14106854166667</v>
      </c>
    </row>
    <row r="7" customFormat="false" ht="15" hidden="false" customHeight="false" outlineLevel="0" collapsed="false">
      <c r="A7" s="7" t="s">
        <v>66</v>
      </c>
      <c r="B7" s="18" t="str">
        <f aca="false">INDEX(Données2019!$D$2:$D$31,MATCH(A7,Données2019!$C$2:$C$31,0))</f>
        <v>oui</v>
      </c>
      <c r="C7" s="19" t="n">
        <f aca="false">SUMIFS(Données2019!$E$2:$E$31,Données2019!$C$2:$C$31,$A7)</f>
        <v>4933.4</v>
      </c>
      <c r="D7" s="19" t="n">
        <f aca="false">SUMIFS(Données2019!$F$2:$F$31,Données2019!$C$2:$C$31,$A7)</f>
        <v>21133</v>
      </c>
      <c r="E7" s="19" t="n">
        <f aca="false">SUMIFS(Données2019!$G$2:$G$31,Données2019!$C$2:$C$31,$A7)</f>
        <v>7726.46</v>
      </c>
      <c r="F7" s="20" t="n">
        <f aca="false">SUMIFS(Données2019!$H$2:$H$31,Données2019!$C$2:$C$31,$A7)</f>
        <v>2507.46</v>
      </c>
      <c r="G7" s="21" t="n">
        <f aca="false">C7*Paramètres!$B$8</f>
        <v>4738.98165188816</v>
      </c>
      <c r="H7" s="21" t="n">
        <f aca="false">D7-F7</f>
        <v>18625.54</v>
      </c>
      <c r="I7" s="22" t="n">
        <f aca="false">F7/E7</f>
        <v>0.324528956339643</v>
      </c>
      <c r="J7" s="23" t="n">
        <f aca="false">G7/H7</f>
        <v>0.254434590991089</v>
      </c>
      <c r="K7" s="23" t="n">
        <f aca="false">G7*(1+Paramètres!$B$11)/(H7+G7*Paramètres!$B$11)</f>
        <v>0.305439226476546</v>
      </c>
      <c r="L7" s="23" t="n">
        <f aca="false">G7*(1+Paramètres!$B$12)/(H7+G7*Paramètres!$B$12)</f>
        <v>0.333256357041212</v>
      </c>
      <c r="M7" s="24" t="n">
        <f aca="false">IF(F7&gt;0,(I7-(F7-G7*Paramètres!$B$11)/(E7-G7*Paramètres!$B$11))*100,"n.s.")</f>
        <v>14.5293544545132</v>
      </c>
      <c r="N7" s="24" t="n">
        <f aca="false">IF(F7&gt;0,(I7-(F7-G7*Paramètres!$B$12)/(E7-G7*Paramètres!$B$12))*100,"n.s.")</f>
        <v>26.9218324983095</v>
      </c>
      <c r="O7" s="22" t="n">
        <f aca="false">IF(F7&gt;0,G7*Paramètres!$B$11/F7,"n.s.")</f>
        <v>0.545474251636466</v>
      </c>
      <c r="P7" s="22" t="n">
        <f aca="false">IF(F7&gt;0,G7*Paramètres!$B$12/F7,"n.s.")</f>
        <v>0.878136717775325</v>
      </c>
      <c r="Q7" s="24" t="n">
        <f aca="false">C7*(Paramètres!$B$5/Paramètres!$B$4)*Paramètres!$B$11/1000</f>
        <v>1.62162685185185</v>
      </c>
      <c r="R7" s="24" t="n">
        <f aca="false">C7*(Paramètres!$B$5/Paramètres!$B$4)*Paramètres!$B$12/1000</f>
        <v>2.61059083333333</v>
      </c>
    </row>
    <row r="8" customFormat="false" ht="15" hidden="false" customHeight="false" outlineLevel="0" collapsed="false">
      <c r="A8" s="7" t="s">
        <v>68</v>
      </c>
      <c r="B8" s="18" t="str">
        <f aca="false">INDEX(Données2019!$D$2:$D$31,MATCH(A8,Données2019!$C$2:$C$31,0))</f>
        <v>oui</v>
      </c>
      <c r="C8" s="19" t="n">
        <f aca="false">SUMIFS(Données2019!$E$2:$E$31,Données2019!$C$2:$C$31,$A8)</f>
        <v>983.37</v>
      </c>
      <c r="D8" s="19" t="n">
        <f aca="false">SUMIFS(Données2019!$F$2:$F$31,Données2019!$C$2:$C$31,$A8)</f>
        <v>74866</v>
      </c>
      <c r="E8" s="19" t="n">
        <f aca="false">SUMIFS(Données2019!$G$2:$G$31,Données2019!$C$2:$C$31,$A8)</f>
        <v>36057.32</v>
      </c>
      <c r="F8" s="20" t="n">
        <f aca="false">SUMIFS(Données2019!$H$2:$H$31,Données2019!$C$2:$C$31,$A8)</f>
        <v>16232.32</v>
      </c>
      <c r="G8" s="21" t="n">
        <f aca="false">C8*Paramètres!$B$8</f>
        <v>944.616772817381</v>
      </c>
      <c r="H8" s="21" t="n">
        <f aca="false">D8-F8</f>
        <v>58633.68</v>
      </c>
      <c r="I8" s="22" t="n">
        <f aca="false">F8/E8</f>
        <v>0.450180989602111</v>
      </c>
      <c r="J8" s="23" t="n">
        <f aca="false">G8/H8</f>
        <v>0.0161104807478804</v>
      </c>
      <c r="K8" s="23" t="n">
        <f aca="false">G8*(1+Paramètres!$B$11)/(H8+G8*Paramètres!$B$11)</f>
        <v>0.0206641699492531</v>
      </c>
      <c r="L8" s="23" t="n">
        <f aca="false">G8*(1+Paramètres!$B$12)/(H8+G8*Paramètres!$B$12)</f>
        <v>0.023420645456596</v>
      </c>
      <c r="M8" s="24" t="n">
        <f aca="false">IF(F8&gt;0,(I8-(F8-G8*Paramètres!$B$11)/(E8-G8*Paramètres!$B$11))*100,"n.s.")</f>
        <v>0.418891383260778</v>
      </c>
      <c r="N8" s="24" t="n">
        <f aca="false">IF(F8&gt;0,(I8-(F8-G8*Paramètres!$B$12)/(E8-G8*Paramètres!$B$12))*100,"n.s.")</f>
        <v>0.677504044115707</v>
      </c>
      <c r="O8" s="22" t="n">
        <f aca="false">IF(F8&gt;0,G8*Paramètres!$B$11/F8,"n.s.")</f>
        <v>0.0167957073431063</v>
      </c>
      <c r="P8" s="22" t="n">
        <f aca="false">IF(F8&gt;0,G8*Paramètres!$B$12/F8,"n.s.")</f>
        <v>0.0270387232298175</v>
      </c>
      <c r="Q8" s="24" t="n">
        <f aca="false">C8*(Paramètres!$B$5/Paramètres!$B$4)*Paramètres!$B$11/1000</f>
        <v>0.323237361111111</v>
      </c>
      <c r="R8" s="24" t="n">
        <f aca="false">C8*(Paramètres!$B$5/Paramètres!$B$4)*Paramètres!$B$12/1000</f>
        <v>0.520366625</v>
      </c>
    </row>
    <row r="9" customFormat="false" ht="15" hidden="false" customHeight="false" outlineLevel="0" collapsed="false">
      <c r="A9" s="7" t="s">
        <v>71</v>
      </c>
      <c r="B9" s="18" t="str">
        <f aca="false">INDEX(Données2019!$D$2:$D$31,MATCH(A9,Données2019!$C$2:$C$31,0))</f>
        <v>oui</v>
      </c>
      <c r="C9" s="19" t="n">
        <f aca="false">SUMIFS(Données2019!$E$2:$E$31,Données2019!$C$2:$C$31,$A9)</f>
        <v>100.64</v>
      </c>
      <c r="D9" s="19" t="n">
        <f aca="false">SUMIFS(Données2019!$F$2:$F$31,Données2019!$C$2:$C$31,$A9)</f>
        <v>12395</v>
      </c>
      <c r="E9" s="19" t="n">
        <f aca="false">SUMIFS(Données2019!$G$2:$G$31,Données2019!$C$2:$C$31,$A9)</f>
        <v>7777.25</v>
      </c>
      <c r="F9" s="20" t="n">
        <f aca="false">SUMIFS(Données2019!$H$2:$H$31,Données2019!$C$2:$C$31,$A9)</f>
        <v>346.25</v>
      </c>
      <c r="G9" s="21" t="n">
        <f aca="false">C9*Paramètres!$B$8</f>
        <v>96.6739192942038</v>
      </c>
      <c r="H9" s="21" t="n">
        <f aca="false">D9-F9</f>
        <v>12048.75</v>
      </c>
      <c r="I9" s="22" t="n">
        <f aca="false">F9/E9</f>
        <v>0.0445208782024495</v>
      </c>
      <c r="J9" s="23" t="n">
        <f aca="false">G9/H9</f>
        <v>0.00802356421157413</v>
      </c>
      <c r="K9" s="23" t="n">
        <f aca="false">G9*(1+Paramètres!$B$11)/(H9+G9*Paramètres!$B$11)</f>
        <v>0.0103154204793878</v>
      </c>
      <c r="L9" s="23" t="n">
        <f aca="false">G9*(1+Paramètres!$B$12)/(H9+G9*Paramètres!$B$12)</f>
        <v>0.0117079386677831</v>
      </c>
      <c r="M9" s="24" t="n">
        <f aca="false">IF(F9&gt;0,(I9-(F9-G9*Paramètres!$B$11)/(E9-G9*Paramètres!$B$11))*100,"n.s.")</f>
        <v>0.344023884259695</v>
      </c>
      <c r="N9" s="24" t="n">
        <f aca="false">IF(F9&gt;0,(I9-(F9-G9*Paramètres!$B$12)/(E9-G9*Paramètres!$B$12))*100,"n.s.")</f>
        <v>0.555048787392221</v>
      </c>
      <c r="O9" s="22" t="n">
        <f aca="false">IF(F9&gt;0,G9*Paramètres!$B$11/F9,"n.s.")</f>
        <v>0.0805828801020043</v>
      </c>
      <c r="P9" s="22" t="n">
        <f aca="false">IF(F9&gt;0,G9*Paramètres!$B$12/F9,"n.s.")</f>
        <v>0.129727087262804</v>
      </c>
      <c r="Q9" s="24" t="n">
        <f aca="false">C9*(Paramètres!$B$5/Paramètres!$B$4)*Paramètres!$B$11/1000</f>
        <v>0.0330807407407407</v>
      </c>
      <c r="R9" s="24" t="n">
        <f aca="false">C9*(Paramètres!$B$5/Paramètres!$B$4)*Paramètres!$B$12/1000</f>
        <v>0.0532553333333334</v>
      </c>
    </row>
    <row r="10" customFormat="false" ht="15" hidden="false" customHeight="false" outlineLevel="0" collapsed="false">
      <c r="A10" s="7" t="s">
        <v>74</v>
      </c>
      <c r="B10" s="18" t="str">
        <f aca="false">INDEX(Données2019!$D$2:$D$31,MATCH(A10,Données2019!$C$2:$C$31,0))</f>
        <v>non</v>
      </c>
      <c r="C10" s="19" t="n">
        <f aca="false">SUMIFS(Données2019!$E$2:$E$31,Données2019!$C$2:$C$31,$A10)</f>
        <v>346.54</v>
      </c>
      <c r="D10" s="19" t="n">
        <f aca="false">SUMIFS(Données2019!$F$2:$F$31,Données2019!$C$2:$C$31,$A10)</f>
        <v>56242</v>
      </c>
      <c r="E10" s="19" t="n">
        <f aca="false">SUMIFS(Données2019!$G$2:$G$31,Données2019!$C$2:$C$31,$A10)</f>
        <v>33194.78</v>
      </c>
      <c r="F10" s="20" t="n">
        <f aca="false">SUMIFS(Données2019!$H$2:$H$31,Données2019!$C$2:$C$31,$A10)</f>
        <v>11328.78</v>
      </c>
      <c r="G10" s="21" t="n">
        <f aca="false">C10*Paramètres!$B$8</f>
        <v>332.883346504505</v>
      </c>
      <c r="H10" s="21" t="n">
        <f aca="false">D10-F10</f>
        <v>44913.22</v>
      </c>
      <c r="I10" s="22" t="n">
        <f aca="false">F10/E10</f>
        <v>0.341281972647507</v>
      </c>
      <c r="J10" s="23" t="n">
        <f aca="false">G10/H10</f>
        <v>0.00741170075324158</v>
      </c>
      <c r="K10" s="23" t="n">
        <f aca="false">G10*(1+Paramètres!$B$11)/(H10+G10*Paramètres!$B$11)</f>
        <v>0.00953046307322579</v>
      </c>
      <c r="L10" s="23" t="n">
        <f aca="false">G10*(1+Paramètres!$B$12)/(H10+G10*Paramètres!$B$12)</f>
        <v>0.0108181751394767</v>
      </c>
      <c r="M10" s="24" t="n">
        <f aca="false">IF(F10&gt;0,(I10-(F10-G10*Paramètres!$B$11)/(E10-G10*Paramètres!$B$11))*100,"n.s.")</f>
        <v>0.191207037010727</v>
      </c>
      <c r="N10" s="24" t="n">
        <f aca="false">IF(F10&gt;0,(I10-(F10-G10*Paramètres!$B$12)/(E10-G10*Paramètres!$B$12))*100,"n.s.")</f>
        <v>0.308362276417307</v>
      </c>
      <c r="O10" s="22" t="n">
        <f aca="false">IF(F10&gt;0,G10*Paramètres!$B$11/F10,"n.s.")</f>
        <v>0.00848070911539246</v>
      </c>
      <c r="P10" s="22" t="n">
        <f aca="false">IF(F10&gt;0,G10*Paramètres!$B$12/F10,"n.s.")</f>
        <v>0.0136527472097093</v>
      </c>
      <c r="Q10" s="24" t="n">
        <f aca="false">C10*(Paramètres!$B$5/Paramètres!$B$4)*Paramètres!$B$11/1000</f>
        <v>0.113908981481481</v>
      </c>
      <c r="R10" s="24" t="n">
        <f aca="false">C10*(Paramètres!$B$5/Paramètres!$B$4)*Paramètres!$B$12/1000</f>
        <v>0.183377416666667</v>
      </c>
    </row>
    <row r="11" customFormat="false" ht="15" hidden="false" customHeight="false" outlineLevel="0" collapsed="false">
      <c r="A11" s="7" t="s">
        <v>77</v>
      </c>
      <c r="B11" s="18" t="str">
        <f aca="false">INDEX(Données2019!$D$2:$D$31,MATCH(A11,Données2019!$C$2:$C$31,0))</f>
        <v>non</v>
      </c>
      <c r="C11" s="19" t="n">
        <f aca="false">SUMIFS(Données2019!$E$2:$E$31,Données2019!$C$2:$C$31,$A11)</f>
        <v>3856.45</v>
      </c>
      <c r="D11" s="19" t="n">
        <f aca="false">SUMIFS(Données2019!$F$2:$F$31,Données2019!$C$2:$C$31,$A11)</f>
        <v>238341</v>
      </c>
      <c r="E11" s="19" t="n">
        <f aca="false">SUMIFS(Données2019!$G$2:$G$31,Données2019!$C$2:$C$31,$A11)</f>
        <v>102182.45</v>
      </c>
      <c r="F11" s="20" t="n">
        <f aca="false">SUMIFS(Données2019!$H$2:$H$31,Données2019!$C$2:$C$31,$A11)</f>
        <v>37493.45</v>
      </c>
      <c r="G11" s="21" t="n">
        <f aca="false">C11*Paramètres!$B$8</f>
        <v>3704.47273511658</v>
      </c>
      <c r="H11" s="21" t="n">
        <f aca="false">D11-F11</f>
        <v>200847.55</v>
      </c>
      <c r="I11" s="22" t="n">
        <f aca="false">F11/E11</f>
        <v>0.366926512331619</v>
      </c>
      <c r="J11" s="23" t="n">
        <f aca="false">G11/H11</f>
        <v>0.0184442017595762</v>
      </c>
      <c r="K11" s="23" t="n">
        <f aca="false">G11*(1+Paramètres!$B$11)/(H11+G11*Paramètres!$B$11)</f>
        <v>0.0236416759231655</v>
      </c>
      <c r="L11" s="23" t="n">
        <f aca="false">G11*(1+Paramètres!$B$12)/(H11+G11*Paramètres!$B$12)</f>
        <v>0.0267844699890875</v>
      </c>
      <c r="M11" s="24" t="n">
        <f aca="false">IF(F11&gt;0,(I11-(F11-G11*Paramètres!$B$11)/(E11-G11*Paramètres!$B$11))*100,"n.s.")</f>
        <v>0.669415250797451</v>
      </c>
      <c r="N11" s="24" t="n">
        <f aca="false">IF(F11&gt;0,(I11-(F11-G11*Paramètres!$B$12)/(E11-G11*Paramètres!$B$12))*100,"n.s.")</f>
        <v>1.08465889121921</v>
      </c>
      <c r="O11" s="22" t="n">
        <f aca="false">IF(F11&gt;0,G11*Paramètres!$B$11/F11,"n.s.")</f>
        <v>0.0285163699317233</v>
      </c>
      <c r="P11" s="22" t="n">
        <f aca="false">IF(F11&gt;0,G11*Paramètres!$B$12/F11,"n.s.")</f>
        <v>0.0459073391999434</v>
      </c>
      <c r="Q11" s="24" t="n">
        <f aca="false">C11*(Paramètres!$B$5/Paramètres!$B$4)*Paramètres!$B$11/1000</f>
        <v>1.26762939814815</v>
      </c>
      <c r="R11" s="24" t="n">
        <f aca="false">C11*(Paramètres!$B$5/Paramètres!$B$4)*Paramètres!$B$12/1000</f>
        <v>2.04070479166667</v>
      </c>
    </row>
    <row r="12" customFormat="false" ht="15" hidden="false" customHeight="false" outlineLevel="0" collapsed="false">
      <c r="A12" s="7" t="s">
        <v>79</v>
      </c>
      <c r="B12" s="18" t="str">
        <f aca="false">INDEX(Données2019!$D$2:$D$31,MATCH(A12,Données2019!$C$2:$C$31,0))</f>
        <v>non</v>
      </c>
      <c r="C12" s="19" t="n">
        <f aca="false">SUMIFS(Données2019!$E$2:$E$31,Données2019!$C$2:$C$31,$A12)</f>
        <v>1309.57</v>
      </c>
      <c r="D12" s="19" t="n">
        <f aca="false">SUMIFS(Données2019!$F$2:$F$31,Données2019!$C$2:$C$31,$A12)</f>
        <v>161294.17</v>
      </c>
      <c r="E12" s="19" t="n">
        <f aca="false">SUMIFS(Données2019!$G$2:$G$31,Données2019!$C$2:$C$31,$A12)</f>
        <v>89566.63</v>
      </c>
      <c r="F12" s="20" t="n">
        <f aca="false">SUMIFS(Données2019!$H$2:$H$31,Données2019!$C$2:$C$31,$A12)</f>
        <v>26883.63</v>
      </c>
      <c r="G12" s="21" t="n">
        <f aca="false">C12*Paramètres!$B$8</f>
        <v>1257.96169008456</v>
      </c>
      <c r="H12" s="21" t="n">
        <f aca="false">D12-F12</f>
        <v>134410.54</v>
      </c>
      <c r="I12" s="22" t="n">
        <f aca="false">F12/E12</f>
        <v>0.300152300025132</v>
      </c>
      <c r="J12" s="23" t="n">
        <f aca="false">G12/H12</f>
        <v>0.00935910003846843</v>
      </c>
      <c r="K12" s="23" t="n">
        <f aca="false">G12*(1+Paramètres!$B$11)/(H12+G12*Paramètres!$B$11)</f>
        <v>0.0120278141324354</v>
      </c>
      <c r="L12" s="23" t="n">
        <f aca="false">G12*(1+Paramètres!$B$12)/(H12+G12*Paramètres!$B$12)</f>
        <v>0.013648307047979</v>
      </c>
      <c r="M12" s="24" t="n">
        <f aca="false">IF(F12&gt;0,(I12-(F12-G12*Paramètres!$B$11)/(E12-G12*Paramètres!$B$11))*100,"n.s.")</f>
        <v>0.284847236823027</v>
      </c>
      <c r="N12" s="24" t="n">
        <f aca="false">IF(F12&gt;0,(I12-(F12-G12*Paramètres!$B$12)/(E12-G12*Paramètres!$B$12))*100,"n.s.")</f>
        <v>0.459705015022277</v>
      </c>
      <c r="O12" s="22" t="n">
        <f aca="false">IF(F12&gt;0,G12*Paramètres!$B$11/F12,"n.s.")</f>
        <v>0.0135052537133637</v>
      </c>
      <c r="P12" s="22" t="n">
        <f aca="false">IF(F12&gt;0,G12*Paramètres!$B$12/F12,"n.s.")</f>
        <v>0.0217415563301052</v>
      </c>
      <c r="Q12" s="24" t="n">
        <f aca="false">C12*(Paramètres!$B$5/Paramètres!$B$4)*Paramètres!$B$11/1000</f>
        <v>0.430460509259259</v>
      </c>
      <c r="R12" s="24" t="n">
        <f aca="false">C12*(Paramètres!$B$5/Paramètres!$B$4)*Paramètres!$B$12/1000</f>
        <v>0.692980791666667</v>
      </c>
    </row>
    <row r="13" customFormat="false" ht="15" hidden="false" customHeight="false" outlineLevel="0" collapsed="false">
      <c r="A13" s="7" t="s">
        <v>82</v>
      </c>
      <c r="B13" s="18" t="str">
        <f aca="false">INDEX(Données2019!$D$2:$D$31,MATCH(A13,Données2019!$C$2:$C$31,0))</f>
        <v>non</v>
      </c>
      <c r="C13" s="19" t="n">
        <f aca="false">SUMIFS(Données2019!$E$2:$E$31,Données2019!$C$2:$C$31,$A13)</f>
        <v>240.19</v>
      </c>
      <c r="D13" s="19" t="n">
        <f aca="false">SUMIFS(Données2019!$F$2:$F$31,Données2019!$C$2:$C$31,$A13)</f>
        <v>121745</v>
      </c>
      <c r="E13" s="19" t="n">
        <f aca="false">SUMIFS(Données2019!$G$2:$G$31,Données2019!$C$2:$C$31,$A13)</f>
        <v>63075.15</v>
      </c>
      <c r="F13" s="20" t="n">
        <f aca="false">SUMIFS(Données2019!$H$2:$H$31,Données2019!$C$2:$C$31,$A13)</f>
        <v>23226.15</v>
      </c>
      <c r="G13" s="21" t="n">
        <f aca="false">C13*Paramètres!$B$8</f>
        <v>230.724450271014</v>
      </c>
      <c r="H13" s="21" t="n">
        <f aca="false">D13-F13</f>
        <v>98518.85</v>
      </c>
      <c r="I13" s="22" t="n">
        <f aca="false">F13/E13</f>
        <v>0.368229802069436</v>
      </c>
      <c r="J13" s="23" t="n">
        <f aca="false">G13/H13</f>
        <v>0.00234193202895703</v>
      </c>
      <c r="K13" s="23" t="n">
        <f aca="false">G13*(1+Paramètres!$B$11)/(H13+G13*Paramètres!$B$11)</f>
        <v>0.00301581703920582</v>
      </c>
      <c r="L13" s="23" t="n">
        <f aca="false">G13*(1+Paramètres!$B$12)/(H13+G13*Paramètres!$B$12)</f>
        <v>0.00342634526923527</v>
      </c>
      <c r="M13" s="24" t="n">
        <f aca="false">IF(F13&gt;0,(I13-(F13-G13*Paramètres!$B$11)/(E13-G13*Paramètres!$B$11))*100,"n.s.")</f>
        <v>0.0667692427557431</v>
      </c>
      <c r="N13" s="24" t="n">
        <f aca="false">IF(F13&gt;0,(I13-(F13-G13*Paramètres!$B$12)/(E13-G13*Paramètres!$B$12))*100,"n.s.")</f>
        <v>0.10755840192968</v>
      </c>
      <c r="O13" s="22" t="n">
        <f aca="false">IF(F13&gt;0,G13*Paramètres!$B$11/F13,"n.s.")</f>
        <v>0.00286707883687136</v>
      </c>
      <c r="P13" s="22" t="n">
        <f aca="false">IF(F13&gt;0,G13*Paramètres!$B$12/F13,"n.s.")</f>
        <v>0.00461559311344221</v>
      </c>
      <c r="Q13" s="24" t="n">
        <f aca="false">C13*(Paramètres!$B$5/Paramètres!$B$4)*Paramètres!$B$11/1000</f>
        <v>0.0789513425925926</v>
      </c>
      <c r="R13" s="24" t="n">
        <f aca="false">C13*(Paramètres!$B$5/Paramètres!$B$4)*Paramètres!$B$12/1000</f>
        <v>0.127100541666667</v>
      </c>
    </row>
    <row r="14" customFormat="false" ht="15" hidden="false" customHeight="false" outlineLevel="0" collapsed="false">
      <c r="A14" s="7" t="s">
        <v>85</v>
      </c>
      <c r="B14" s="18" t="str">
        <f aca="false">INDEX(Données2019!$D$2:$D$31,MATCH(A14,Données2019!$C$2:$C$31,0))</f>
        <v>non</v>
      </c>
      <c r="C14" s="19" t="n">
        <f aca="false">SUMIFS(Données2019!$E$2:$E$31,Données2019!$C$2:$C$31,$A14)</f>
        <v>1243.23</v>
      </c>
      <c r="D14" s="19" t="n">
        <f aca="false">SUMIFS(Données2019!$F$2:$F$31,Données2019!$C$2:$C$31,$A14)</f>
        <v>223402</v>
      </c>
      <c r="E14" s="19" t="n">
        <f aca="false">SUMIFS(Données2019!$G$2:$G$31,Données2019!$C$2:$C$31,$A14)</f>
        <v>116240.17</v>
      </c>
      <c r="F14" s="20" t="n">
        <f aca="false">SUMIFS(Données2019!$H$2:$H$31,Données2019!$C$2:$C$31,$A14)</f>
        <v>45162.17</v>
      </c>
      <c r="G14" s="21" t="n">
        <f aca="false">C14*Paramètres!$B$8</f>
        <v>1194.2360560824</v>
      </c>
      <c r="H14" s="21" t="n">
        <f aca="false">D14-F14</f>
        <v>178239.83</v>
      </c>
      <c r="I14" s="22" t="n">
        <f aca="false">F14/E14</f>
        <v>0.388524638255433</v>
      </c>
      <c r="J14" s="23" t="n">
        <f aca="false">G14/H14</f>
        <v>0.00670016379662392</v>
      </c>
      <c r="K14" s="23" t="n">
        <f aca="false">G14*(1+Paramètres!$B$11)/(H14+G14*Paramètres!$B$11)</f>
        <v>0.00861728691028984</v>
      </c>
      <c r="L14" s="23" t="n">
        <f aca="false">G14*(1+Paramètres!$B$12)/(H14+G14*Paramètres!$B$12)</f>
        <v>0.00978283350019129</v>
      </c>
      <c r="M14" s="24" t="n">
        <f aca="false">IF(F14&gt;0,(I14-(F14-G14*Paramètres!$B$11)/(E14-G14*Paramètres!$B$11))*100,"n.s.")</f>
        <v>0.181855248420137</v>
      </c>
      <c r="N14" s="24" t="n">
        <f aca="false">IF(F14&gt;0,(I14-(F14-G14*Paramètres!$B$12)/(E14-G14*Paramètres!$B$12))*100,"n.s.")</f>
        <v>0.293293296030761</v>
      </c>
      <c r="O14" s="22" t="n">
        <f aca="false">IF(F14&gt;0,G14*Paramètres!$B$11/F14,"n.s.")</f>
        <v>0.00763200453178143</v>
      </c>
      <c r="P14" s="22" t="n">
        <f aca="false">IF(F14&gt;0,G14*Paramètres!$B$12/F14,"n.s.")</f>
        <v>0.0122864523659524</v>
      </c>
      <c r="Q14" s="24" t="n">
        <f aca="false">C14*(Paramètres!$B$5/Paramètres!$B$4)*Paramètres!$B$11/1000</f>
        <v>0.408654305555556</v>
      </c>
      <c r="R14" s="24" t="n">
        <f aca="false">C14*(Paramètres!$B$5/Paramètres!$B$4)*Paramètres!$B$12/1000</f>
        <v>0.657875875</v>
      </c>
    </row>
    <row r="15" customFormat="false" ht="15" hidden="false" customHeight="false" outlineLevel="0" collapsed="false">
      <c r="A15" s="7" t="s">
        <v>94</v>
      </c>
      <c r="B15" s="18" t="str">
        <f aca="false">INDEX(Données2019!$D$2:$D$31,MATCH(A15,Données2019!$C$2:$C$31,0))</f>
        <v>non</v>
      </c>
      <c r="C15" s="19" t="n">
        <f aca="false">SUMIFS(Données2019!$E$2:$E$31,Données2019!$C$2:$C$31,$A15)</f>
        <v>598.89</v>
      </c>
      <c r="D15" s="19" t="n">
        <f aca="false">SUMIFS(Données2019!$F$2:$F$31,Données2019!$C$2:$C$31,$A15)</f>
        <v>235135</v>
      </c>
      <c r="E15" s="19" t="n">
        <f aca="false">SUMIFS(Données2019!$G$2:$G$31,Données2019!$C$2:$C$31,$A15)</f>
        <v>83195.7</v>
      </c>
      <c r="F15" s="20" t="n">
        <f aca="false">SUMIFS(Données2019!$H$2:$H$31,Données2019!$C$2:$C$31,$A15)</f>
        <v>19764.7</v>
      </c>
      <c r="G15" s="21" t="n">
        <f aca="false">C15*Paramètres!$B$8</f>
        <v>575.288588295963</v>
      </c>
      <c r="H15" s="21" t="n">
        <f aca="false">D15-F15</f>
        <v>215370.3</v>
      </c>
      <c r="I15" s="22" t="n">
        <f aca="false">F15/E15</f>
        <v>0.237568768578184</v>
      </c>
      <c r="J15" s="23" t="n">
        <f aca="false">G15/H15</f>
        <v>0.00267116026813336</v>
      </c>
      <c r="K15" s="23" t="n">
        <f aca="false">G15*(1+Paramètres!$B$11)/(H15+G15*Paramètres!$B$11)</f>
        <v>0.00343945327033727</v>
      </c>
      <c r="L15" s="23" t="n">
        <f aca="false">G15*(1+Paramètres!$B$12)/(H15+G15*Paramètres!$B$12)</f>
        <v>0.0039074229884401</v>
      </c>
      <c r="M15" s="24" t="n">
        <f aca="false">IF(F15&gt;0,(I15-(F15-G15*Paramètres!$B$11)/(E15-G15*Paramètres!$B$11))*100,"n.s.")</f>
        <v>0.152467195480285</v>
      </c>
      <c r="N15" s="24" t="n">
        <f aca="false">IF(F15&gt;0,(I15-(F15-G15*Paramètres!$B$12)/(E15-G15*Paramètres!$B$12))*100,"n.s.")</f>
        <v>0.245750419307783</v>
      </c>
      <c r="O15" s="22" t="n">
        <f aca="false">IF(F15&gt;0,G15*Paramètres!$B$11/F15,"n.s.")</f>
        <v>0.00840076380095839</v>
      </c>
      <c r="P15" s="22" t="n">
        <f aca="false">IF(F15&gt;0,G15*Paramètres!$B$12/F15,"n.s.")</f>
        <v>0.0135240465133739</v>
      </c>
      <c r="Q15" s="24" t="n">
        <f aca="false">C15*(Paramètres!$B$5/Paramètres!$B$4)*Paramètres!$B$11/1000</f>
        <v>0.196857361111111</v>
      </c>
      <c r="R15" s="24" t="n">
        <f aca="false">C15*(Paramètres!$B$5/Paramètres!$B$4)*Paramètres!$B$12/1000</f>
        <v>0.316912625</v>
      </c>
    </row>
    <row r="16" customFormat="false" ht="15" hidden="false" customHeight="false" outlineLevel="0" collapsed="false">
      <c r="A16" s="7" t="s">
        <v>101</v>
      </c>
      <c r="B16" s="18" t="str">
        <f aca="false">INDEX(Données2019!$D$2:$D$31,MATCH(A16,Données2019!$C$2:$C$31,0))</f>
        <v>non</v>
      </c>
      <c r="C16" s="19" t="n">
        <f aca="false">SUMIFS(Données2019!$E$2:$E$31,Données2019!$C$2:$C$31,$A16)</f>
        <v>157.24</v>
      </c>
      <c r="D16" s="19" t="n">
        <f aca="false">SUMIFS(Données2019!$F$2:$F$31,Données2019!$C$2:$C$31,$A16)</f>
        <v>152352</v>
      </c>
      <c r="E16" s="19" t="n">
        <f aca="false">SUMIFS(Données2019!$G$2:$G$31,Données2019!$C$2:$C$31,$A16)</f>
        <v>106626.25</v>
      </c>
      <c r="F16" s="20" t="n">
        <f aca="false">SUMIFS(Données2019!$H$2:$H$31,Données2019!$C$2:$C$31,$A16)</f>
        <v>77007.5</v>
      </c>
      <c r="G16" s="21" t="n">
        <f aca="false">C16*Paramètres!$B$8</f>
        <v>151.043392983114</v>
      </c>
      <c r="H16" s="21" t="n">
        <f aca="false">D16-F16</f>
        <v>75344.5</v>
      </c>
      <c r="I16" s="22" t="n">
        <f aca="false">F16/E16</f>
        <v>0.722218965780003</v>
      </c>
      <c r="J16" s="23" t="n">
        <f aca="false">G16/H16</f>
        <v>0.00200470363441411</v>
      </c>
      <c r="K16" s="23" t="n">
        <f aca="false">G16*(1+Paramètres!$B$11)/(H16+G16*Paramètres!$B$11)</f>
        <v>0.00258180314572623</v>
      </c>
      <c r="L16" s="23" t="n">
        <f aca="false">G16*(1+Paramètres!$B$12)/(H16+G16*Paramètres!$B$12)</f>
        <v>0.00293342504646313</v>
      </c>
      <c r="M16" s="24" t="n">
        <f aca="false">IF(F16&gt;0,(I16-(F16-G16*Paramètres!$B$11)/(E16-G16*Paramètres!$B$11))*100,"n.s.")</f>
        <v>0.0113616400399863</v>
      </c>
      <c r="N16" s="24" t="n">
        <f aca="false">IF(F16&gt;0,(I16-(F16-G16*Paramètres!$B$12)/(E16-G16*Paramètres!$B$12))*100,"n.s.")</f>
        <v>0.0182952038088269</v>
      </c>
      <c r="O16" s="22" t="n">
        <f aca="false">IF(F16&gt;0,G16*Paramètres!$B$11/F16,"n.s.")</f>
        <v>0.000566098429426608</v>
      </c>
      <c r="P16" s="22" t="n">
        <f aca="false">IF(F16&gt;0,G16*Paramètres!$B$12/F16,"n.s.")</f>
        <v>0.000911338739203681</v>
      </c>
      <c r="Q16" s="24" t="n">
        <f aca="false">C16*(Paramètres!$B$5/Paramètres!$B$4)*Paramètres!$B$11/1000</f>
        <v>0.0516853703703704</v>
      </c>
      <c r="R16" s="24" t="n">
        <f aca="false">C16*(Paramètres!$B$5/Paramètres!$B$4)*Paramètres!$B$12/1000</f>
        <v>0.0832061666666667</v>
      </c>
    </row>
    <row r="17" customFormat="false" ht="15" hidden="false" customHeight="false" outlineLevel="0" collapsed="false">
      <c r="A17" s="7" t="s">
        <v>104</v>
      </c>
      <c r="B17" s="18" t="str">
        <f aca="false">INDEX(Données2019!$D$2:$D$31,MATCH(A17,Données2019!$C$2:$C$31,0))</f>
        <v>non</v>
      </c>
      <c r="C17" s="19" t="n">
        <f aca="false">SUMIFS(Données2019!$E$2:$E$31,Données2019!$C$2:$C$31,$A17)</f>
        <v>1891.47</v>
      </c>
      <c r="D17" s="19" t="n">
        <f aca="false">SUMIFS(Données2019!$F$2:$F$31,Données2019!$C$2:$C$31,$A17)</f>
        <v>380034</v>
      </c>
      <c r="E17" s="19" t="n">
        <f aca="false">SUMIFS(Données2019!$G$2:$G$31,Données2019!$C$2:$C$31,$A17)</f>
        <v>178338</v>
      </c>
      <c r="F17" s="20" t="n">
        <f aca="false">SUMIFS(Données2019!$H$2:$H$31,Données2019!$C$2:$C$31,$A17)</f>
        <v>48152</v>
      </c>
      <c r="G17" s="21" t="n">
        <f aca="false">C17*Paramètres!$B$8</f>
        <v>1816.92983035977</v>
      </c>
      <c r="H17" s="21" t="n">
        <f aca="false">D17-F17</f>
        <v>331882</v>
      </c>
      <c r="I17" s="22" t="n">
        <f aca="false">F17/E17</f>
        <v>0.270004149424127</v>
      </c>
      <c r="J17" s="23" t="n">
        <f aca="false">G17/H17</f>
        <v>0.00547462601273879</v>
      </c>
      <c r="K17" s="23" t="n">
        <f aca="false">G17*(1+Paramètres!$B$11)/(H17+G17*Paramètres!$B$11)</f>
        <v>0.00704357162880252</v>
      </c>
      <c r="L17" s="23" t="n">
        <f aca="false">G17*(1+Paramètres!$B$12)/(H17+G17*Paramètres!$B$12)</f>
        <v>0.0079979797501406</v>
      </c>
      <c r="M17" s="24" t="n">
        <f aca="false">IF(F17&gt;0,(I17-(F17-G17*Paramètres!$B$11)/(E17-G17*Paramètres!$B$11))*100,"n.s.")</f>
        <v>0.215286506204143</v>
      </c>
      <c r="N17" s="24" t="n">
        <f aca="false">IF(F17&gt;0,(I17-(F17-G17*Paramètres!$B$12)/(E17-G17*Paramètres!$B$12))*100,"n.s.")</f>
        <v>0.347205424222241</v>
      </c>
      <c r="O17" s="22" t="n">
        <f aca="false">IF(F17&gt;0,G17*Paramètres!$B$11/F17,"n.s.")</f>
        <v>0.0108904811217344</v>
      </c>
      <c r="P17" s="22" t="n">
        <f aca="false">IF(F17&gt;0,G17*Paramètres!$B$12/F17,"n.s.")</f>
        <v>0.0175321407354119</v>
      </c>
      <c r="Q17" s="24" t="n">
        <f aca="false">C17*(Paramètres!$B$5/Paramètres!$B$4)*Paramètres!$B$11/1000</f>
        <v>0.621733194444444</v>
      </c>
      <c r="R17" s="24" t="n">
        <f aca="false">C17*(Paramètres!$B$5/Paramètres!$B$4)*Paramètres!$B$12/1000</f>
        <v>1.000902875</v>
      </c>
    </row>
    <row r="18" customFormat="false" ht="15" hidden="false" customHeight="false" outlineLevel="0" collapsed="false">
      <c r="A18" s="7" t="s">
        <v>115</v>
      </c>
      <c r="B18" s="18" t="str">
        <f aca="false">INDEX(Données2019!$D$2:$D$31,MATCH(A18,Données2019!$C$2:$C$31,0))</f>
        <v>non</v>
      </c>
      <c r="C18" s="19" t="n">
        <f aca="false">SUMIFS(Données2019!$E$2:$E$31,Données2019!$C$2:$C$31,$A18)</f>
        <v>753.44</v>
      </c>
      <c r="D18" s="19" t="n">
        <f aca="false">SUMIFS(Données2019!$F$2:$F$31,Données2019!$C$2:$C$31,$A18)</f>
        <v>69443</v>
      </c>
      <c r="E18" s="19" t="n">
        <f aca="false">SUMIFS(Données2019!$G$2:$G$31,Données2019!$C$2:$C$31,$A18)</f>
        <v>37662.34</v>
      </c>
      <c r="F18" s="20" t="n">
        <f aca="false">SUMIFS(Données2019!$H$2:$H$31,Données2019!$C$2:$C$31,$A18)</f>
        <v>28801.34</v>
      </c>
      <c r="G18" s="21" t="n">
        <f aca="false">C18*Paramètres!$B$8</f>
        <v>723.747990391742</v>
      </c>
      <c r="H18" s="21" t="n">
        <f aca="false">D18-F18</f>
        <v>40641.66</v>
      </c>
      <c r="I18" s="22" t="n">
        <f aca="false">F18/E18</f>
        <v>0.764725187017057</v>
      </c>
      <c r="J18" s="23" t="n">
        <f aca="false">G18/H18</f>
        <v>0.0178080322110795</v>
      </c>
      <c r="K18" s="23" t="n">
        <f aca="false">G18*(1+Paramètres!$B$11)/(H18+G18*Paramètres!$B$11)</f>
        <v>0.0228304070026757</v>
      </c>
      <c r="L18" s="23" t="n">
        <f aca="false">G18*(1+Paramètres!$B$12)/(H18+G18*Paramètres!$B$12)</f>
        <v>0.0258682127760049</v>
      </c>
      <c r="M18" s="24" t="n">
        <f aca="false">IF(F18&gt;0,(I18-(F18-G18*Paramètres!$B$11)/(E18-G18*Paramètres!$B$11))*100,"n.s.")</f>
        <v>0.131218231868557</v>
      </c>
      <c r="N18" s="24" t="n">
        <f aca="false">IF(F18&gt;0,(I18-(F18-G18*Paramètres!$B$12)/(E18-G18*Paramètres!$B$12))*100,"n.s.")</f>
        <v>0.211963830008688</v>
      </c>
      <c r="O18" s="22" t="n">
        <f aca="false">IF(F18&gt;0,G18*Paramètres!$B$11/F18,"n.s.")</f>
        <v>0.00725267001858468</v>
      </c>
      <c r="P18" s="22" t="n">
        <f aca="false">IF(F18&gt;0,G18*Paramètres!$B$12/F18,"n.s.")</f>
        <v>0.0116757772271018</v>
      </c>
      <c r="Q18" s="24" t="n">
        <f aca="false">C18*(Paramètres!$B$5/Paramètres!$B$4)*Paramètres!$B$11/1000</f>
        <v>0.247658518518519</v>
      </c>
      <c r="R18" s="24" t="n">
        <f aca="false">C18*(Paramètres!$B$5/Paramètres!$B$4)*Paramètres!$B$12/1000</f>
        <v>0.398695333333334</v>
      </c>
    </row>
    <row r="19" customFormat="false" ht="15" hidden="false" customHeight="false" outlineLevel="0" collapsed="false">
      <c r="A19" s="7" t="s">
        <v>118</v>
      </c>
      <c r="B19" s="18" t="str">
        <f aca="false">INDEX(Données2019!$D$2:$D$31,MATCH(A19,Données2019!$C$2:$C$31,0))</f>
        <v>non</v>
      </c>
      <c r="C19" s="19" t="n">
        <f aca="false">SUMIFS(Données2019!$E$2:$E$31,Données2019!$C$2:$C$31,$A19)</f>
        <v>766.3</v>
      </c>
      <c r="D19" s="19" t="n">
        <f aca="false">SUMIFS(Données2019!$F$2:$F$31,Données2019!$C$2:$C$31,$A19)</f>
        <v>151806</v>
      </c>
      <c r="E19" s="19" t="n">
        <f aca="false">SUMIFS(Données2019!$G$2:$G$31,Données2019!$C$2:$C$31,$A19)</f>
        <v>89667.91</v>
      </c>
      <c r="F19" s="20" t="n">
        <f aca="false">SUMIFS(Données2019!$H$2:$H$31,Données2019!$C$2:$C$31,$A19)</f>
        <v>13326.91</v>
      </c>
      <c r="G19" s="21" t="n">
        <f aca="false">C19*Paramètres!$B$8</f>
        <v>736.101195897738</v>
      </c>
      <c r="H19" s="21" t="n">
        <f aca="false">D19-F19</f>
        <v>138479.09</v>
      </c>
      <c r="I19" s="22" t="n">
        <f aca="false">F19/E19</f>
        <v>0.148625188208357</v>
      </c>
      <c r="J19" s="23" t="n">
        <f aca="false">G19/H19</f>
        <v>0.00531561260185735</v>
      </c>
      <c r="K19" s="23" t="n">
        <f aca="false">G19*(1+Paramètres!$B$11)/(H19+G19*Paramètres!$B$11)</f>
        <v>0.00683930075035597</v>
      </c>
      <c r="L19" s="23" t="n">
        <f aca="false">G19*(1+Paramètres!$B$12)/(H19+G19*Paramètres!$B$12)</f>
        <v>0.00776624653226469</v>
      </c>
      <c r="M19" s="24" t="n">
        <f aca="false">IF(F19&gt;0,(I19-(F19-G19*Paramètres!$B$11)/(E19-G19*Paramètres!$B$11))*100,"n.s.")</f>
        <v>0.202197005032961</v>
      </c>
      <c r="N19" s="24" t="n">
        <f aca="false">IF(F19&gt;0,(I19-(F19-G19*Paramètres!$B$12)/(E19-G19*Paramètres!$B$12))*100,"n.s.")</f>
        <v>0.325980844820048</v>
      </c>
      <c r="O19" s="22" t="n">
        <f aca="false">IF(F19&gt;0,G19*Paramètres!$B$11/F19,"n.s.")</f>
        <v>0.0159415776930839</v>
      </c>
      <c r="P19" s="22" t="n">
        <f aca="false">IF(F19&gt;0,G19*Paramètres!$B$12/F19,"n.s.")</f>
        <v>0.0256636947932323</v>
      </c>
      <c r="Q19" s="24" t="n">
        <f aca="false">C19*(Paramètres!$B$5/Paramètres!$B$4)*Paramètres!$B$11/1000</f>
        <v>0.251885648148148</v>
      </c>
      <c r="R19" s="24" t="n">
        <f aca="false">C19*(Paramètres!$B$5/Paramètres!$B$4)*Paramètres!$B$12/1000</f>
        <v>0.405500416666667</v>
      </c>
    </row>
    <row r="20" customFormat="false" ht="15" hidden="false" customHeight="false" outlineLevel="0" collapsed="false">
      <c r="A20" s="7" t="s">
        <v>125</v>
      </c>
      <c r="B20" s="18" t="str">
        <f aca="false">INDEX(Données2019!$D$2:$D$31,MATCH(A20,Données2019!$C$2:$C$31,0))</f>
        <v>non</v>
      </c>
      <c r="C20" s="19" t="n">
        <f aca="false">SUMIFS(Données2019!$E$2:$E$31,Données2019!$C$2:$C$31,$A20)</f>
        <v>632.89</v>
      </c>
      <c r="D20" s="19" t="n">
        <f aca="false">SUMIFS(Données2019!$F$2:$F$31,Données2019!$C$2:$C$31,$A20)</f>
        <v>57635</v>
      </c>
      <c r="E20" s="19" t="n">
        <f aca="false">SUMIFS(Données2019!$G$2:$G$31,Données2019!$C$2:$C$31,$A20)</f>
        <v>32479.48</v>
      </c>
      <c r="F20" s="20" t="n">
        <f aca="false">SUMIFS(Données2019!$H$2:$H$31,Données2019!$C$2:$C$31,$A20)</f>
        <v>10599.48</v>
      </c>
      <c r="G20" s="21" t="n">
        <f aca="false">C20*Paramètres!$B$8</f>
        <v>607.948696165626</v>
      </c>
      <c r="H20" s="21" t="n">
        <f aca="false">D20-F20</f>
        <v>47035.52</v>
      </c>
      <c r="I20" s="22" t="n">
        <f aca="false">F20/E20</f>
        <v>0.326343894668264</v>
      </c>
      <c r="J20" s="23" t="n">
        <f aca="false">G20/H20</f>
        <v>0.0129253104072332</v>
      </c>
      <c r="K20" s="23" t="n">
        <f aca="false">G20*(1+Paramètres!$B$11)/(H20+G20*Paramètres!$B$11)</f>
        <v>0.0165938830963874</v>
      </c>
      <c r="L20" s="23" t="n">
        <f aca="false">G20*(1+Paramètres!$B$12)/(H20+G20*Paramètres!$B$12)</f>
        <v>0.0188178396749404</v>
      </c>
      <c r="M20" s="24" t="n">
        <f aca="false">IF(F20&gt;0,(I20-(F20-G20*Paramètres!$B$11)/(E20-G20*Paramètres!$B$11))*100,"n.s.")</f>
        <v>0.36590801125011</v>
      </c>
      <c r="N20" s="24" t="n">
        <f aca="false">IF(F20&gt;0,(I20-(F20-G20*Paramètres!$B$12)/(E20-G20*Paramètres!$B$12))*100,"n.s.")</f>
        <v>0.591018142406763</v>
      </c>
      <c r="O20" s="22" t="n">
        <f aca="false">IF(F20&gt;0,G20*Paramètres!$B$11/F20,"n.s.")</f>
        <v>0.0165541014835179</v>
      </c>
      <c r="P20" s="22" t="n">
        <f aca="false">IF(F20&gt;0,G20*Paramètres!$B$12/F20,"n.s.")</f>
        <v>0.0266497718248746</v>
      </c>
      <c r="Q20" s="24" t="n">
        <f aca="false">C20*(Paramètres!$B$5/Paramètres!$B$4)*Paramètres!$B$11/1000</f>
        <v>0.208033287037037</v>
      </c>
      <c r="R20" s="24" t="n">
        <f aca="false">C20*(Paramètres!$B$5/Paramètres!$B$4)*Paramètres!$B$12/1000</f>
        <v>0.334904291666667</v>
      </c>
    </row>
    <row r="21" customFormat="false" ht="15" hidden="false" customHeight="false" outlineLevel="0" collapsed="false">
      <c r="A21" s="7" t="s">
        <v>130</v>
      </c>
      <c r="B21" s="18" t="str">
        <f aca="false">INDEX(Données2019!$D$2:$D$31,MATCH(A21,Données2019!$C$2:$C$31,0))</f>
        <v>non</v>
      </c>
      <c r="C21" s="19" t="n">
        <f aca="false">SUMIFS(Données2019!$E$2:$E$31,Données2019!$C$2:$C$31,$A21)</f>
        <v>120.89</v>
      </c>
      <c r="D21" s="19" t="n">
        <f aca="false">SUMIFS(Données2019!$F$2:$F$31,Données2019!$C$2:$C$31,$A21)</f>
        <v>28606</v>
      </c>
      <c r="E21" s="19" t="n">
        <f aca="false">SUMIFS(Données2019!$G$2:$G$31,Données2019!$C$2:$C$31,$A21)</f>
        <v>17470.66</v>
      </c>
      <c r="F21" s="20" t="n">
        <f aca="false">SUMIFS(Données2019!$H$2:$H$31,Données2019!$C$2:$C$31,$A21)</f>
        <v>7650.66</v>
      </c>
      <c r="G21" s="21" t="n">
        <f aca="false">C21*Paramètres!$B$8</f>
        <v>116.125895304812</v>
      </c>
      <c r="H21" s="21" t="n">
        <f aca="false">D21-F21</f>
        <v>20955.34</v>
      </c>
      <c r="I21" s="22" t="n">
        <f aca="false">F21/E21</f>
        <v>0.437914766814763</v>
      </c>
      <c r="J21" s="23" t="n">
        <f aca="false">G21/H21</f>
        <v>0.00554158965231832</v>
      </c>
      <c r="K21" s="23" t="n">
        <f aca="false">G21*(1+Paramètres!$B$11)/(H21+G21*Paramètres!$B$11)</f>
        <v>0.00712958846656189</v>
      </c>
      <c r="L21" s="23" t="n">
        <f aca="false">G21*(1+Paramètres!$B$12)/(H21+G21*Paramètres!$B$12)</f>
        <v>0.00809555689456056</v>
      </c>
      <c r="M21" s="24" t="n">
        <f aca="false">IF(F21&gt;0,(I21-(F21-G21*Paramètres!$B$11)/(E21-G21*Paramètres!$B$11))*100,"n.s.")</f>
        <v>0.108038647563086</v>
      </c>
      <c r="N21" s="24" t="n">
        <f aca="false">IF(F21&gt;0,(I21-(F21-G21*Paramètres!$B$12)/(E21-G21*Paramètres!$B$12))*100,"n.s.")</f>
        <v>0.174131124622962</v>
      </c>
      <c r="O21" s="22" t="n">
        <f aca="false">IF(F21&gt;0,G21*Paramètres!$B$11/F21,"n.s.")</f>
        <v>0.00438079988308233</v>
      </c>
      <c r="P21" s="22" t="n">
        <f aca="false">IF(F21&gt;0,G21*Paramètres!$B$12/F21,"n.s.")</f>
        <v>0.00705247079769452</v>
      </c>
      <c r="Q21" s="24" t="n">
        <f aca="false">C21*(Paramètres!$B$5/Paramètres!$B$4)*Paramètres!$B$11/1000</f>
        <v>0.0397369907407407</v>
      </c>
      <c r="R21" s="24" t="n">
        <f aca="false">C21*(Paramètres!$B$5/Paramètres!$B$4)*Paramètres!$B$12/1000</f>
        <v>0.0639709583333334</v>
      </c>
    </row>
    <row r="22" customFormat="false" ht="15" hidden="false" customHeight="false" outlineLevel="0" collapsed="false">
      <c r="A22" s="25" t="s">
        <v>151</v>
      </c>
      <c r="B22" s="25" t="s">
        <v>152</v>
      </c>
      <c r="C22" s="26" t="n">
        <f aca="false">SUM(C5:C21)</f>
        <v>27929.11</v>
      </c>
      <c r="D22" s="26" t="n">
        <f aca="false">SUM(D5:D21)</f>
        <v>2100526.17</v>
      </c>
      <c r="E22" s="26" t="n">
        <f aca="false">SUM(E5:E21)</f>
        <v>1049035.39</v>
      </c>
      <c r="F22" s="27" t="n">
        <f aca="false">SUM(F5:F21)</f>
        <v>383891.64</v>
      </c>
      <c r="G22" s="26" t="n">
        <f aca="false">C22*Paramètres!$B$8</f>
        <v>26828.4630971675</v>
      </c>
      <c r="H22" s="26" t="n">
        <f aca="false">D22-F22</f>
        <v>1716634.53</v>
      </c>
      <c r="I22" s="28" t="n">
        <f aca="false">F22/E22</f>
        <v>0.365947272760741</v>
      </c>
      <c r="J22" s="29" t="n">
        <f aca="false">G22/H22</f>
        <v>0.0156285235024181</v>
      </c>
      <c r="K22" s="29" t="n">
        <f aca="false">G22*(1+Paramètres!$B$11)/(H22+G22*Paramètres!$B$11)</f>
        <v>0.0200487615441321</v>
      </c>
      <c r="L22" s="29" t="n">
        <f aca="false">G22*(1+Paramètres!$B$12)/(H22+G22*Paramètres!$B$12)</f>
        <v>0.0227250501886049</v>
      </c>
      <c r="M22" s="30" t="n">
        <f aca="false">IF(F22&gt;0,(I22-(F22-G22*Paramètres!$B$11)/(E22-G22*Paramètres!$B$11))*100,"n.s.")</f>
        <v>0.471489243252776</v>
      </c>
      <c r="N22" s="30" t="n">
        <f aca="false">IF(F22&gt;0,(I22-(F22-G22*Paramètres!$B$12)/(E22-G22*Paramètres!$B$12))*100,"n.s.")</f>
        <v>0.762489152420692</v>
      </c>
      <c r="O22" s="28" t="n">
        <f aca="false">IF(F22&gt;0,G22*Paramètres!$B$11/F22,"n.s.")</f>
        <v>0.020170208209098</v>
      </c>
      <c r="P22" s="28" t="n">
        <f aca="false">IF(F22&gt;0,G22*Paramètres!$B$12/F22,"n.s.")</f>
        <v>0.0324711943422521</v>
      </c>
      <c r="Q22" s="30" t="n">
        <f aca="false">C22*(Paramètres!$B$5/Paramètres!$B$4)*Paramètres!$B$11/1000</f>
        <v>9.18040189814815</v>
      </c>
      <c r="R22" s="30" t="n">
        <f aca="false">C22*(Paramètres!$B$5/Paramètres!$B$4)*Paramètres!$B$12/1000</f>
        <v>14.7791540416667</v>
      </c>
    </row>
    <row r="23" customFormat="false" ht="15" hidden="false" customHeight="false" outlineLevel="0" collapsed="false">
      <c r="A23" s="25" t="s">
        <v>153</v>
      </c>
      <c r="B23" s="25" t="s">
        <v>75</v>
      </c>
      <c r="C23" s="26" t="n">
        <f aca="false">SUMIFS(C$5:C$21,$B$5:$B$21,"non")</f>
        <v>11917.1</v>
      </c>
      <c r="D23" s="26" t="n">
        <f aca="false">SUMIFS(D$5:D$21,$B$5:$B$21,"non")</f>
        <v>1876035.17</v>
      </c>
      <c r="E23" s="26" t="n">
        <f aca="false">SUMIFS(E$5:E$21,$B$5:$B$21,"non")</f>
        <v>949699.52</v>
      </c>
      <c r="F23" s="27" t="n">
        <f aca="false">SUMIFS(F$5:F$21,$B$5:$B$21,"non")</f>
        <v>349396.77</v>
      </c>
      <c r="G23" s="26" t="n">
        <f aca="false">C23*Paramètres!$B$8</f>
        <v>11447.4638674578</v>
      </c>
      <c r="H23" s="26" t="n">
        <f aca="false">D23-F23</f>
        <v>1526638.4</v>
      </c>
      <c r="I23" s="28" t="n">
        <f aca="false">F23/E23</f>
        <v>0.367902439289429</v>
      </c>
      <c r="J23" s="29" t="n">
        <f aca="false">G23/H23</f>
        <v>0.00749847761425222</v>
      </c>
      <c r="K23" s="29" t="n">
        <f aca="false">G23*(1+Paramètres!$B$11)/(H23+G23*Paramètres!$B$11)</f>
        <v>0.00964180562763459</v>
      </c>
      <c r="L23" s="29" t="n">
        <f aca="false">G23*(1+Paramètres!$B$12)/(H23+G23*Paramètres!$B$12)</f>
        <v>0.010944395551822</v>
      </c>
      <c r="M23" s="30" t="n">
        <f aca="false">IF(F23&gt;0,(I23-(F23-G23*Paramètres!$B$11)/(E23-G23*Paramètres!$B$11))*100,"n.s.")</f>
        <v>0.220670325374317</v>
      </c>
      <c r="N23" s="30" t="n">
        <f aca="false">IF(F23&gt;0,(I23-(F23-G23*Paramètres!$B$12)/(E23-G23*Paramètres!$B$12))*100,"n.s.")</f>
        <v>0.356006104443857</v>
      </c>
      <c r="O23" s="28" t="n">
        <f aca="false">IF(F23&gt;0,G23*Paramètres!$B$11/F23,"n.s.")</f>
        <v>0.00945613442143319</v>
      </c>
      <c r="P23" s="28" t="n">
        <f aca="false">IF(F23&gt;0,G23*Paramètres!$B$12/F23,"n.s.")</f>
        <v>0.0152230445685889</v>
      </c>
      <c r="Q23" s="30" t="n">
        <f aca="false">C23*(Paramètres!$B$5/Paramètres!$B$4)*Paramètres!$B$11/1000</f>
        <v>3.91719490740741</v>
      </c>
      <c r="R23" s="30" t="n">
        <f aca="false">C23*(Paramètres!$B$5/Paramètres!$B$4)*Paramètres!$B$12/1000</f>
        <v>6.30613208333334</v>
      </c>
    </row>
    <row r="24" customFormat="false" ht="15" hidden="false" customHeight="false" outlineLevel="0" collapsed="false">
      <c r="A24" s="25" t="s">
        <v>154</v>
      </c>
      <c r="B24" s="25" t="s">
        <v>60</v>
      </c>
      <c r="C24" s="26" t="n">
        <f aca="false">SUMIFS(C$5:C$21,$B$5:$B$21,"oui")</f>
        <v>16012.01</v>
      </c>
      <c r="D24" s="26" t="n">
        <f aca="false">SUMIFS(D$5:D$21,$B$5:$B$21,"oui")</f>
        <v>224491</v>
      </c>
      <c r="E24" s="26" t="n">
        <f aca="false">SUMIFS(E$5:E$21,$B$5:$B$21,"oui")</f>
        <v>99335.87</v>
      </c>
      <c r="F24" s="27" t="n">
        <f aca="false">SUMIFS(F$5:F$21,$B$5:$B$21,"oui")</f>
        <v>34494.87</v>
      </c>
      <c r="G24" s="26" t="n">
        <f aca="false">C24*Paramètres!$B$8</f>
        <v>15380.9992297097</v>
      </c>
      <c r="H24" s="26" t="n">
        <f aca="false">D24-F24</f>
        <v>189996.13</v>
      </c>
      <c r="I24" s="28" t="n">
        <f aca="false">F24/E24</f>
        <v>0.347254924127609</v>
      </c>
      <c r="J24" s="29" t="n">
        <f aca="false">G24/H24</f>
        <v>0.0809542764355763</v>
      </c>
      <c r="K24" s="29" t="n">
        <f aca="false">G24*(1+Paramètres!$B$11)/(H24+G24*Paramètres!$B$11)</f>
        <v>0.101937376839945</v>
      </c>
      <c r="L24" s="29" t="n">
        <f aca="false">G24*(1+Paramètres!$B$12)/(H24+G24*Paramètres!$B$12)</f>
        <v>0.114270223531107</v>
      </c>
      <c r="M24" s="30" t="n">
        <f aca="false">IF(F24&gt;0,(I24-(F24-G24*Paramètres!$B$11)/(E24-G24*Paramètres!$B$11))*100,"n.s.")</f>
        <v>3.05351858383446</v>
      </c>
      <c r="N24" s="30" t="n">
        <f aca="false">IF(F24&gt;0,(I24-(F24-G24*Paramètres!$B$12)/(E24-G24*Paramètres!$B$12))*100,"n.s.")</f>
        <v>5.0600942634739</v>
      </c>
      <c r="O24" s="28" t="n">
        <f aca="false">IF(F24&gt;0,G24*Paramètres!$B$11/F24,"n.s.")</f>
        <v>0.1286925123938</v>
      </c>
      <c r="P24" s="28" t="n">
        <f aca="false">IF(F24&gt;0,G24*Paramètres!$B$12/F24,"n.s.")</f>
        <v>0.207176819248047</v>
      </c>
      <c r="Q24" s="30" t="n">
        <f aca="false">C24*(Paramètres!$B$5/Paramètres!$B$4)*Paramètres!$B$11/1000</f>
        <v>5.26320699074074</v>
      </c>
      <c r="R24" s="30" t="n">
        <f aca="false">C24*(Paramètres!$B$5/Paramètres!$B$4)*Paramètres!$B$12/1000</f>
        <v>8.47302195833334</v>
      </c>
    </row>
    <row r="26" customFormat="false" ht="15" hidden="false" customHeight="false" outlineLevel="0" collapsed="false">
      <c r="A26" s="14" t="s">
        <v>155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8"/>
    <col collapsed="false" customWidth="true" hidden="false" outlineLevel="0" max="3" min="3" style="0" width="20"/>
  </cols>
  <sheetData>
    <row r="1" customFormat="false" ht="15" hidden="false" customHeight="false" outlineLevel="0" collapsed="false">
      <c r="A1" s="6" t="s">
        <v>156</v>
      </c>
      <c r="B1" s="6" t="s">
        <v>157</v>
      </c>
      <c r="C1" s="6" t="s">
        <v>158</v>
      </c>
    </row>
    <row r="2" customFormat="false" ht="15" hidden="false" customHeight="false" outlineLevel="0" collapsed="false">
      <c r="A2" s="16" t="s">
        <v>159</v>
      </c>
      <c r="B2" s="31" t="n">
        <v>1.63</v>
      </c>
      <c r="C2" s="31" t="n">
        <v>1.69</v>
      </c>
    </row>
    <row r="3" customFormat="false" ht="15" hidden="false" customHeight="false" outlineLevel="0" collapsed="false">
      <c r="A3" s="16" t="s">
        <v>160</v>
      </c>
      <c r="B3" s="31" t="n">
        <v>1.72</v>
      </c>
      <c r="C3" s="31" t="n">
        <v>1.77</v>
      </c>
    </row>
    <row r="4" customFormat="false" ht="15" hidden="false" customHeight="false" outlineLevel="0" collapsed="false">
      <c r="A4" s="16" t="s">
        <v>161</v>
      </c>
      <c r="B4" s="31" t="n">
        <v>2.02</v>
      </c>
      <c r="C4" s="31" t="n">
        <v>1.96</v>
      </c>
    </row>
    <row r="5" customFormat="false" ht="15" hidden="false" customHeight="false" outlineLevel="0" collapsed="false">
      <c r="A5" s="16" t="s">
        <v>162</v>
      </c>
      <c r="B5" s="31" t="n">
        <v>1.87</v>
      </c>
      <c r="C5" s="31" t="n">
        <v>1.76</v>
      </c>
    </row>
    <row r="6" customFormat="false" ht="15" hidden="false" customHeight="false" outlineLevel="0" collapsed="false">
      <c r="A6" s="16" t="s">
        <v>163</v>
      </c>
      <c r="B6" s="31" t="n">
        <v>1.9</v>
      </c>
      <c r="C6" s="31" t="n">
        <v>1.89</v>
      </c>
    </row>
    <row r="7" customFormat="false" ht="15" hidden="false" customHeight="false" outlineLevel="0" collapsed="false">
      <c r="A7" s="16" t="s">
        <v>164</v>
      </c>
      <c r="B7" s="31" t="n">
        <v>2.09</v>
      </c>
      <c r="C7" s="31" t="n">
        <v>2.08</v>
      </c>
    </row>
    <row r="8" customFormat="false" ht="15" hidden="false" customHeight="false" outlineLevel="0" collapsed="false">
      <c r="A8" s="16" t="s">
        <v>165</v>
      </c>
      <c r="B8" s="31" t="n">
        <v>2</v>
      </c>
      <c r="C8" s="31" t="n">
        <v>1.95</v>
      </c>
    </row>
    <row r="9" customFormat="false" ht="15" hidden="false" customHeight="false" outlineLevel="0" collapsed="false">
      <c r="A9" s="16" t="s">
        <v>166</v>
      </c>
      <c r="B9" s="31" t="n">
        <v>1.87</v>
      </c>
      <c r="C9" s="31" t="n">
        <v>1.77</v>
      </c>
    </row>
    <row r="10" customFormat="false" ht="15" hidden="false" customHeight="false" outlineLevel="0" collapsed="false">
      <c r="A10" s="16" t="s">
        <v>167</v>
      </c>
      <c r="B10" s="31" t="n">
        <v>1.74</v>
      </c>
      <c r="C10" s="31" t="n">
        <v>1.51</v>
      </c>
    </row>
    <row r="11" customFormat="false" ht="15" hidden="false" customHeight="false" outlineLevel="0" collapsed="false">
      <c r="A11" s="16" t="s">
        <v>168</v>
      </c>
      <c r="B11" s="31" t="n">
        <v>1.87</v>
      </c>
      <c r="C11" s="31" t="n">
        <v>1.62</v>
      </c>
    </row>
    <row r="12" customFormat="false" ht="15" hidden="false" customHeight="false" outlineLevel="0" collapsed="false">
      <c r="A12" s="16" t="s">
        <v>169</v>
      </c>
      <c r="B12" s="31" t="n">
        <v>1.88</v>
      </c>
      <c r="C12" s="31" t="n">
        <v>1.68</v>
      </c>
    </row>
    <row r="13" customFormat="false" ht="15" hidden="false" customHeight="false" outlineLevel="0" collapsed="false">
      <c r="A13" s="16" t="s">
        <v>170</v>
      </c>
      <c r="B13" s="31" t="n">
        <v>1.78</v>
      </c>
      <c r="C13" s="31" t="n">
        <v>1.65</v>
      </c>
    </row>
    <row r="14" customFormat="false" ht="15" hidden="false" customHeight="false" outlineLevel="0" collapsed="false">
      <c r="A14" s="16" t="s">
        <v>171</v>
      </c>
      <c r="B14" s="31" t="n">
        <v>1.92</v>
      </c>
      <c r="C14" s="31" t="n">
        <v>1.86</v>
      </c>
    </row>
    <row r="15" customFormat="false" ht="15" hidden="false" customHeight="false" outlineLevel="0" collapsed="false">
      <c r="A15" s="16" t="s">
        <v>172</v>
      </c>
      <c r="B15" s="31" t="n">
        <v>1.86</v>
      </c>
      <c r="C15" s="31" t="n">
        <v>1.89</v>
      </c>
    </row>
    <row r="16" customFormat="false" ht="15" hidden="false" customHeight="false" outlineLevel="0" collapsed="false">
      <c r="A16" s="16" t="s">
        <v>173</v>
      </c>
      <c r="B16" s="31" t="n">
        <v>1.85</v>
      </c>
      <c r="C16" s="31" t="n">
        <v>1.9</v>
      </c>
    </row>
    <row r="17" customFormat="false" ht="15" hidden="false" customHeight="false" outlineLevel="0" collapsed="false">
      <c r="A17" s="16" t="s">
        <v>174</v>
      </c>
      <c r="B17" s="31" t="n">
        <v>1.81</v>
      </c>
      <c r="C17" s="31" t="n">
        <v>1.93</v>
      </c>
    </row>
    <row r="18" customFormat="false" ht="15" hidden="false" customHeight="false" outlineLevel="0" collapsed="false">
      <c r="A18" s="16" t="s">
        <v>175</v>
      </c>
      <c r="B18" s="31" t="n">
        <v>1.69</v>
      </c>
      <c r="C18" s="31" t="n">
        <v>1.85</v>
      </c>
    </row>
    <row r="19" customFormat="false" ht="15" hidden="false" customHeight="false" outlineLevel="0" collapsed="false">
      <c r="A19" s="16" t="s">
        <v>176</v>
      </c>
      <c r="B19" s="31" t="n">
        <v>1.7</v>
      </c>
      <c r="C19" s="31" t="n">
        <v>1.86</v>
      </c>
    </row>
    <row r="20" customFormat="false" ht="15" hidden="false" customHeight="false" outlineLevel="0" collapsed="false">
      <c r="A20" s="16" t="s">
        <v>177</v>
      </c>
      <c r="B20" s="31" t="n">
        <v>1.72</v>
      </c>
      <c r="C20" s="31" t="n">
        <v>1.84</v>
      </c>
    </row>
    <row r="21" customFormat="false" ht="15" hidden="false" customHeight="false" outlineLevel="0" collapsed="false">
      <c r="A21" s="16" t="s">
        <v>178</v>
      </c>
      <c r="B21" s="31" t="n">
        <v>1.85</v>
      </c>
      <c r="C21" s="31" t="n">
        <v>1.93</v>
      </c>
    </row>
    <row r="22" customFormat="false" ht="15" hidden="false" customHeight="false" outlineLevel="0" collapsed="false">
      <c r="A22" s="16" t="s">
        <v>179</v>
      </c>
      <c r="B22" s="31" t="n">
        <v>1.93</v>
      </c>
      <c r="C22" s="31" t="n">
        <v>1.95</v>
      </c>
    </row>
    <row r="23" customFormat="false" ht="15" hidden="false" customHeight="false" outlineLevel="0" collapsed="false">
      <c r="A23" s="16" t="s">
        <v>180</v>
      </c>
      <c r="B23" s="31" t="n">
        <v>1.91</v>
      </c>
      <c r="C23" s="31" t="n">
        <v>1.87</v>
      </c>
    </row>
    <row r="24" customFormat="false" ht="15" hidden="false" customHeight="false" outlineLevel="0" collapsed="false">
      <c r="A24" s="16" t="s">
        <v>181</v>
      </c>
      <c r="B24" s="31" t="n">
        <v>1.84</v>
      </c>
      <c r="C24" s="31" t="n">
        <v>1.83</v>
      </c>
    </row>
    <row r="25" customFormat="false" ht="15" hidden="false" customHeight="false" outlineLevel="0" collapsed="false">
      <c r="A25" s="16" t="s">
        <v>182</v>
      </c>
      <c r="B25" s="31" t="n">
        <v>1.77</v>
      </c>
      <c r="C25" s="31" t="n">
        <v>1.79</v>
      </c>
    </row>
    <row r="26" customFormat="false" ht="15" hidden="false" customHeight="false" outlineLevel="0" collapsed="false">
      <c r="A26" s="16" t="s">
        <v>183</v>
      </c>
      <c r="B26" s="31" t="n">
        <v>1.75</v>
      </c>
      <c r="C26" s="31" t="n">
        <v>1.79</v>
      </c>
    </row>
    <row r="27" customFormat="false" ht="15" hidden="false" customHeight="false" outlineLevel="0" collapsed="false">
      <c r="A27" s="16" t="s">
        <v>184</v>
      </c>
      <c r="B27" s="31" t="n">
        <v>1.83</v>
      </c>
      <c r="C27" s="31" t="n">
        <v>1.83</v>
      </c>
    </row>
    <row r="28" customFormat="false" ht="15" hidden="false" customHeight="false" outlineLevel="0" collapsed="false">
      <c r="A28" s="16" t="s">
        <v>185</v>
      </c>
      <c r="B28" s="31" t="n">
        <v>1.8</v>
      </c>
      <c r="C28" s="31" t="n">
        <v>1.86</v>
      </c>
    </row>
    <row r="29" customFormat="false" ht="15" hidden="false" customHeight="false" outlineLevel="0" collapsed="false">
      <c r="A29" s="16" t="s">
        <v>186</v>
      </c>
      <c r="B29" s="31" t="n">
        <v>1.79</v>
      </c>
      <c r="C29" s="31" t="n">
        <v>1.91</v>
      </c>
    </row>
    <row r="30" customFormat="false" ht="15" hidden="false" customHeight="false" outlineLevel="0" collapsed="false">
      <c r="A30" s="16" t="s">
        <v>187</v>
      </c>
      <c r="B30" s="31" t="n">
        <v>1.73</v>
      </c>
      <c r="C30" s="31" t="n">
        <v>1.88</v>
      </c>
    </row>
    <row r="31" customFormat="false" ht="15" hidden="false" customHeight="false" outlineLevel="0" collapsed="false">
      <c r="A31" s="16" t="s">
        <v>188</v>
      </c>
      <c r="B31" s="31" t="n">
        <v>1.71</v>
      </c>
      <c r="C31" s="31" t="n">
        <v>1.82</v>
      </c>
    </row>
    <row r="32" customFormat="false" ht="15" hidden="false" customHeight="false" outlineLevel="0" collapsed="false">
      <c r="A32" s="16" t="s">
        <v>189</v>
      </c>
      <c r="B32" s="31" t="n">
        <v>1.73</v>
      </c>
      <c r="C32" s="31" t="n">
        <v>1.82</v>
      </c>
    </row>
    <row r="33" customFormat="false" ht="15" hidden="false" customHeight="false" outlineLevel="0" collapsed="false">
      <c r="A33" s="16" t="s">
        <v>190</v>
      </c>
      <c r="B33" s="31" t="n">
        <v>1.67</v>
      </c>
      <c r="C33" s="31" t="n">
        <v>1.78</v>
      </c>
    </row>
    <row r="34" customFormat="false" ht="15" hidden="false" customHeight="false" outlineLevel="0" collapsed="false">
      <c r="A34" s="16" t="s">
        <v>191</v>
      </c>
      <c r="B34" s="31" t="n">
        <v>1.61</v>
      </c>
      <c r="C34" s="31" t="n">
        <v>1.7</v>
      </c>
    </row>
    <row r="35" customFormat="false" ht="15" hidden="false" customHeight="false" outlineLevel="0" collapsed="false">
      <c r="A35" s="16" t="s">
        <v>192</v>
      </c>
      <c r="B35" s="31" t="n">
        <v>1.63</v>
      </c>
      <c r="C35" s="31" t="n">
        <v>1.72</v>
      </c>
    </row>
    <row r="36" customFormat="false" ht="15" hidden="false" customHeight="false" outlineLevel="0" collapsed="false">
      <c r="A36" s="16" t="s">
        <v>193</v>
      </c>
      <c r="B36" s="31" t="n">
        <v>1.64</v>
      </c>
      <c r="C36" s="31" t="n">
        <v>1.72</v>
      </c>
    </row>
    <row r="37" customFormat="false" ht="15" hidden="false" customHeight="false" outlineLevel="0" collapsed="false">
      <c r="A37" s="16" t="s">
        <v>194</v>
      </c>
      <c r="B37" s="31" t="n">
        <v>1.66</v>
      </c>
      <c r="C37" s="31" t="n">
        <v>1.73</v>
      </c>
    </row>
    <row r="38" customFormat="false" ht="15" hidden="false" customHeight="false" outlineLevel="0" collapsed="false">
      <c r="A38" s="16" t="s">
        <v>195</v>
      </c>
      <c r="B38" s="31" t="n">
        <v>1.71</v>
      </c>
      <c r="C38" s="31" t="n">
        <v>1.77</v>
      </c>
    </row>
    <row r="39" customFormat="false" ht="15" hidden="false" customHeight="false" outlineLevel="0" collapsed="false">
      <c r="A39" s="16" t="s">
        <v>196</v>
      </c>
      <c r="B39" s="31" t="n">
        <v>1.71</v>
      </c>
      <c r="C39" s="31" t="n">
        <v>1.77</v>
      </c>
    </row>
    <row r="40" customFormat="false" ht="15" hidden="false" customHeight="false" outlineLevel="0" collapsed="false">
      <c r="A40" s="16" t="s">
        <v>197</v>
      </c>
      <c r="B40" s="31" t="n">
        <v>1.66</v>
      </c>
      <c r="C40" s="31" t="n">
        <v>1.71</v>
      </c>
    </row>
    <row r="41" customFormat="false" ht="15" hidden="false" customHeight="false" outlineLevel="0" collapsed="false">
      <c r="A41" s="16" t="s">
        <v>198</v>
      </c>
      <c r="B41" s="31" t="n">
        <v>1.59</v>
      </c>
      <c r="C41" s="31" t="n">
        <v>1.69</v>
      </c>
    </row>
    <row r="42" customFormat="false" ht="15" hidden="false" customHeight="false" outlineLevel="0" collapsed="false">
      <c r="A42" s="16" t="s">
        <v>199</v>
      </c>
      <c r="B42" s="31" t="n">
        <v>1.56</v>
      </c>
      <c r="C42" s="31" t="n">
        <v>1.67</v>
      </c>
    </row>
    <row r="43" customFormat="false" ht="15" hidden="false" customHeight="false" outlineLevel="0" collapsed="false">
      <c r="A43" s="16" t="s">
        <v>200</v>
      </c>
      <c r="B43" s="31" t="n">
        <v>1.6</v>
      </c>
      <c r="C43" s="31" t="n">
        <v>1.69</v>
      </c>
    </row>
    <row r="44" customFormat="false" ht="15" hidden="false" customHeight="false" outlineLevel="0" collapsed="false">
      <c r="A44" s="16" t="s">
        <v>201</v>
      </c>
      <c r="B44" s="31" t="n">
        <v>1.65</v>
      </c>
      <c r="C44" s="31" t="n">
        <v>1.68</v>
      </c>
    </row>
    <row r="45" customFormat="false" ht="15" hidden="false" customHeight="false" outlineLevel="0" collapsed="false">
      <c r="A45" s="16" t="s">
        <v>202</v>
      </c>
      <c r="B45" s="31" t="n">
        <v>1.62</v>
      </c>
      <c r="C45" s="31" t="n">
        <v>1.69</v>
      </c>
    </row>
    <row r="46" customFormat="false" ht="15" hidden="false" customHeight="false" outlineLevel="0" collapsed="false">
      <c r="A46" s="16" t="s">
        <v>203</v>
      </c>
      <c r="B46" s="31" t="n">
        <v>1.62</v>
      </c>
      <c r="C46" s="31" t="n">
        <v>1.7</v>
      </c>
    </row>
    <row r="47" customFormat="false" ht="15" hidden="false" customHeight="false" outlineLevel="0" collapsed="false">
      <c r="A47" s="16" t="s">
        <v>204</v>
      </c>
      <c r="B47" s="31" t="n">
        <v>1.61</v>
      </c>
      <c r="C47" s="31" t="n">
        <v>1.68</v>
      </c>
    </row>
    <row r="48" customFormat="false" ht="15" hidden="false" customHeight="false" outlineLevel="0" collapsed="false">
      <c r="A48" s="16" t="s">
        <v>205</v>
      </c>
      <c r="B48" s="31" t="n">
        <v>1.68</v>
      </c>
      <c r="C48" s="31" t="n">
        <v>1.71</v>
      </c>
    </row>
    <row r="49" customFormat="false" ht="15" hidden="false" customHeight="false" outlineLevel="0" collapsed="false">
      <c r="A49" s="16" t="s">
        <v>206</v>
      </c>
      <c r="B49" s="31" t="n">
        <v>1.61</v>
      </c>
      <c r="C49" s="31" t="n">
        <v>1.67</v>
      </c>
    </row>
    <row r="50" customFormat="false" ht="15" hidden="false" customHeight="false" outlineLevel="0" collapsed="false">
      <c r="A50" s="16" t="s">
        <v>207</v>
      </c>
      <c r="B50" s="31" t="n">
        <v>1.65</v>
      </c>
      <c r="C50" s="31" t="n">
        <v>1.68</v>
      </c>
    </row>
    <row r="51" customFormat="false" ht="15" hidden="false" customHeight="false" outlineLevel="0" collapsed="false">
      <c r="A51" s="16" t="s">
        <v>208</v>
      </c>
      <c r="B51" s="31" t="n">
        <v>1.69</v>
      </c>
      <c r="C51" s="31" t="n">
        <v>1.7</v>
      </c>
    </row>
    <row r="52" customFormat="false" ht="15" hidden="false" customHeight="false" outlineLevel="0" collapsed="false">
      <c r="A52" s="16" t="s">
        <v>209</v>
      </c>
      <c r="B52" s="31" t="n">
        <v>2.06</v>
      </c>
      <c r="C52" s="31" t="n">
        <v>1.89</v>
      </c>
    </row>
    <row r="53" customFormat="false" ht="15" hidden="false" customHeight="false" outlineLevel="0" collapsed="false">
      <c r="A53" s="16" t="s">
        <v>210</v>
      </c>
      <c r="B53" s="31" t="n">
        <v>2.26</v>
      </c>
      <c r="C53" s="31" t="n">
        <v>2</v>
      </c>
    </row>
    <row r="54" customFormat="false" ht="15" hidden="false" customHeight="false" outlineLevel="0" collapsed="false">
      <c r="A54" s="16" t="s">
        <v>211</v>
      </c>
      <c r="B54" s="31" t="n">
        <v>2.15</v>
      </c>
      <c r="C54" s="31" t="n">
        <v>2.04</v>
      </c>
    </row>
    <row r="55" customFormat="false" ht="15" hidden="false" customHeight="false" outlineLevel="0" collapsed="false">
      <c r="A55" s="16" t="s">
        <v>212</v>
      </c>
      <c r="B55" s="31" t="n">
        <v>1.96</v>
      </c>
      <c r="C55" s="31" t="n">
        <v>1.94</v>
      </c>
    </row>
    <row r="56" customFormat="false" ht="15" hidden="false" customHeight="false" outlineLevel="0" collapsed="false">
      <c r="A56" s="16" t="s">
        <v>213</v>
      </c>
      <c r="B56" s="31" t="n">
        <v>2.04</v>
      </c>
      <c r="C56" s="31" t="n">
        <v>1.97</v>
      </c>
    </row>
    <row r="57" customFormat="false" ht="15" hidden="false" customHeight="false" outlineLevel="0" collapsed="false">
      <c r="A57" s="16" t="s">
        <v>214</v>
      </c>
      <c r="B57" s="31" t="n">
        <v>2.21</v>
      </c>
      <c r="C57" s="31" t="n">
        <v>2.01</v>
      </c>
    </row>
    <row r="59" customFormat="false" ht="15" hidden="false" customHeight="false" outlineLevel="0" collapsed="false">
      <c r="A59" s="14" t="s">
        <v>215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2026-09-23T19:06:23Z</dcterms:created>
  <dc:creator>openpyxl</dc:creator>
  <dc:description/>
  <dc:language>en-US</dc:language>
  <cp:lastModifiedBy/>
  <dcterms:modified xsi:type="dcterms:W3CDTF">2026-09-23T19:06:23Z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